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folio" sheetId="1" r:id="rId4"/>
    <sheet state="visible" name="Operaciones manuales" sheetId="2" r:id="rId5"/>
    <sheet state="visible" name="Operaciones" sheetId="3" r:id="rId6"/>
    <sheet state="visible" name="GRAFICOS" sheetId="4" r:id="rId7"/>
    <sheet state="visible" name="PRECIOS IOL" sheetId="5" r:id="rId8"/>
    <sheet state="visible" name="Hoja 4" sheetId="6" r:id="rId9"/>
  </sheets>
  <definedNames>
    <definedName hidden="1" localSheetId="0" name="_xlnm._FilterDatabase">Portafolio!$A$6:$M$20</definedName>
  </definedNames>
  <calcPr/>
  <extLst>
    <ext uri="GoogleSheetsCustomDataVersion2">
      <go:sheetsCustomData xmlns:go="http://customooxmlschemas.google.com/" r:id="rId10" roundtripDataChecksum="f4oI17FcQQG5OB4VHUbHQ1sZf14SZyLoNbGdn5T0Ems="/>
    </ext>
  </extLst>
</workbook>
</file>

<file path=xl/sharedStrings.xml><?xml version="1.0" encoding="utf-8"?>
<sst xmlns="http://schemas.openxmlformats.org/spreadsheetml/2006/main" count="271" uniqueCount="87">
  <si>
    <t xml:space="preserve">PORTAFOLIO DE BRANCO </t>
  </si>
  <si>
    <t>Fecha</t>
  </si>
  <si>
    <t>Ticker</t>
  </si>
  <si>
    <t>Tipo</t>
  </si>
  <si>
    <t>Cantidad</t>
  </si>
  <si>
    <t>Precio Compra</t>
  </si>
  <si>
    <t xml:space="preserve"> </t>
  </si>
  <si>
    <t>Invertido $</t>
  </si>
  <si>
    <t>Comisión $</t>
  </si>
  <si>
    <t>PPC</t>
  </si>
  <si>
    <t>Ganancia Total $</t>
  </si>
  <si>
    <t>Dolar mep</t>
  </si>
  <si>
    <t>Inversion en usd</t>
  </si>
  <si>
    <t>Precio Actual</t>
  </si>
  <si>
    <t>PORTAFOLIO DOLAR</t>
  </si>
  <si>
    <t>Valor Actual $</t>
  </si>
  <si>
    <t>DOLAR MEP</t>
  </si>
  <si>
    <t>Ganancia $</t>
  </si>
  <si>
    <t>Rendimiento %</t>
  </si>
  <si>
    <t>Total Invertido $</t>
  </si>
  <si>
    <t>Ganancias por ventas</t>
  </si>
  <si>
    <t>ILF</t>
  </si>
  <si>
    <t>COMPRA</t>
  </si>
  <si>
    <t>IOLCAMA</t>
  </si>
  <si>
    <t xml:space="preserve">Nombre de la acción </t>
  </si>
  <si>
    <t xml:space="preserve">Ticker </t>
  </si>
  <si>
    <t>Valor Total ($)</t>
  </si>
  <si>
    <t>Invertido</t>
  </si>
  <si>
    <t>Invertido en dolares</t>
  </si>
  <si>
    <t>Ganancia/Pérdida</t>
  </si>
  <si>
    <t>% Total</t>
  </si>
  <si>
    <t>Valor Actual USD</t>
  </si>
  <si>
    <t>Ganancia USD</t>
  </si>
  <si>
    <t>% Rendimiento USD</t>
  </si>
  <si>
    <t>ADOBE</t>
  </si>
  <si>
    <t>ADBE</t>
  </si>
  <si>
    <t>VENTA</t>
  </si>
  <si>
    <t>IOLDOLD</t>
  </si>
  <si>
    <t>BANCO MACRO</t>
  </si>
  <si>
    <t>BMA</t>
  </si>
  <si>
    <t>MELI</t>
  </si>
  <si>
    <t>BITCOIN</t>
  </si>
  <si>
    <t>IBIT</t>
  </si>
  <si>
    <t>NVDA</t>
  </si>
  <si>
    <t>PAMP</t>
  </si>
  <si>
    <t>PANW</t>
  </si>
  <si>
    <t>CEDEAR</t>
  </si>
  <si>
    <t>MERCADO LIBRE</t>
  </si>
  <si>
    <t>META</t>
  </si>
  <si>
    <t>MSFT</t>
  </si>
  <si>
    <t>EWZ</t>
  </si>
  <si>
    <t>NU</t>
  </si>
  <si>
    <t>VIST</t>
  </si>
  <si>
    <t>MICROSOFT</t>
  </si>
  <si>
    <t>MU</t>
  </si>
  <si>
    <t>SPY</t>
  </si>
  <si>
    <t>MICRON</t>
  </si>
  <si>
    <t>NUBANK</t>
  </si>
  <si>
    <t>NVIDA</t>
  </si>
  <si>
    <t>ACTIVO</t>
  </si>
  <si>
    <t>PRECIO</t>
  </si>
  <si>
    <t>RATIO</t>
  </si>
  <si>
    <t>PAMPA ENERGIA</t>
  </si>
  <si>
    <t>ACN</t>
  </si>
  <si>
    <t>PALO ALTO</t>
  </si>
  <si>
    <t>MCD</t>
  </si>
  <si>
    <t>SP500</t>
  </si>
  <si>
    <t>VISTA ENERGI</t>
  </si>
  <si>
    <t>ACCENTURE</t>
  </si>
  <si>
    <t>MC DONALDS</t>
  </si>
  <si>
    <t xml:space="preserve">Carga manual </t>
  </si>
  <si>
    <t>IOL CASH MANAGEMENT</t>
  </si>
  <si>
    <t xml:space="preserve">IOL DOLAR </t>
  </si>
  <si>
    <t>Grupo</t>
  </si>
  <si>
    <t>Activos</t>
  </si>
  <si>
    <t>Objetivo</t>
  </si>
  <si>
    <t>Núcleo (Core)</t>
  </si>
  <si>
    <t>Estabilidad y largo plazo.</t>
  </si>
  <si>
    <t>Tecnología e IA</t>
  </si>
  <si>
    <t>NVDA, MSFT, META, ADBE, PANW</t>
  </si>
  <si>
    <t>Crecimiento de capital.</t>
  </si>
  <si>
    <t>Emergentes (Latam)</t>
  </si>
  <si>
    <t>EWZ, NU</t>
  </si>
  <si>
    <t>Diversificación fuera de EE.UU.</t>
  </si>
  <si>
    <t>Energía y Valor</t>
  </si>
  <si>
    <t>VIST, PAMP, BMA</t>
  </si>
  <si>
    <t>Aprovechar el ciclo argentino.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</si>
</sst>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dd/mm/yyyy"/>
    <numFmt numFmtId="166" formatCode="[$$]#,##0.00"/>
    <numFmt numFmtId="167" formatCode="dd/mm/yy"/>
  </numFmts>
  <fonts count="13">
    <font>
      <sz val="11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Arial"/>
      <scheme val="minor"/>
    </font>
    <font>
      <b/>
      <sz val="12.0"/>
      <color theme="1"/>
      <name val="Arial"/>
      <scheme val="minor"/>
    </font>
    <font>
      <b/>
      <sz val="11.0"/>
      <color theme="1"/>
      <name val="Arial"/>
      <scheme val="minor"/>
    </font>
    <font>
      <sz val="11.0"/>
      <color theme="1"/>
      <name val="Arial"/>
    </font>
    <font>
      <b/>
      <color rgb="FF000000"/>
      <name val="Arial"/>
      <scheme val="minor"/>
    </font>
    <font>
      <b/>
      <color rgb="FF000000"/>
      <name val="&quot;Google Sans Text&quot;"/>
    </font>
    <font>
      <b/>
      <color theme="1"/>
      <name val="Arial"/>
      <scheme val="minor"/>
    </font>
    <font>
      <b/>
      <sz val="11.0"/>
      <color rgb="FF000000"/>
      <name val="Arial"/>
      <scheme val="minor"/>
    </font>
    <font>
      <color rgb="FF000000"/>
      <name val="Arial"/>
    </font>
    <font>
      <color rgb="FF1F1F1F"/>
      <name val="&quot;Google Sans Text&quot;"/>
    </font>
    <font>
      <b/>
      <color rgb="FF1F1F1F"/>
      <name val="&quot;Google Sans Text&quot;"/>
    </font>
  </fonts>
  <fills count="9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B7E1CD"/>
        <bgColor rgb="FFB7E1CD"/>
      </patternFill>
    </fill>
    <fill>
      <patternFill patternType="solid">
        <fgColor rgb="FF9FC5E8"/>
        <bgColor rgb="FF9FC5E8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164" xfId="0" applyAlignment="1" applyFont="1" applyNumberFormat="1">
      <alignment horizontal="center" readingOrder="0"/>
    </xf>
    <xf borderId="1" fillId="2" fontId="1" numFmtId="164" xfId="0" applyAlignment="1" applyBorder="1" applyFill="1" applyFont="1" applyNumberFormat="1">
      <alignment horizontal="center"/>
    </xf>
    <xf borderId="0" fillId="0" fontId="1" numFmtId="0" xfId="0" applyAlignment="1" applyFont="1">
      <alignment horizontal="center" readingOrder="0"/>
    </xf>
    <xf borderId="0" fillId="0" fontId="1" numFmtId="10" xfId="0" applyFont="1" applyNumberFormat="1"/>
    <xf borderId="1" fillId="2" fontId="1" numFmtId="164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2" fontId="1" numFmtId="4" xfId="0" applyAlignment="1" applyBorder="1" applyFill="1" applyFont="1" applyNumberFormat="1">
      <alignment horizontal="center"/>
    </xf>
    <xf borderId="1" fillId="3" fontId="3" numFmtId="0" xfId="0" applyAlignment="1" applyBorder="1" applyFill="1" applyFont="1">
      <alignment horizontal="center" readingOrder="0"/>
    </xf>
    <xf borderId="1" fillId="2" fontId="1" numFmtId="10" xfId="0" applyAlignment="1" applyBorder="1" applyFill="1" applyFont="1" applyNumberFormat="1">
      <alignment horizontal="center"/>
    </xf>
    <xf borderId="1" fillId="4" fontId="3" numFmtId="0" xfId="0" applyAlignment="1" applyBorder="1" applyFill="1" applyFont="1">
      <alignment readingOrder="0"/>
    </xf>
    <xf borderId="1" fillId="0" fontId="1" numFmtId="165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 readingOrder="0"/>
    </xf>
    <xf borderId="1" fillId="0" fontId="1" numFmtId="164" xfId="0" applyAlignment="1" applyBorder="1" applyFont="1" applyNumberFormat="1">
      <alignment horizontal="center"/>
    </xf>
    <xf borderId="1" fillId="0" fontId="4" numFmtId="166" xfId="0" applyAlignment="1" applyBorder="1" applyFont="1" applyNumberFormat="1">
      <alignment horizontal="center"/>
    </xf>
    <xf borderId="1" fillId="0" fontId="1" numFmtId="10" xfId="0" applyAlignment="1" applyBorder="1" applyFont="1" applyNumberFormat="1">
      <alignment horizontal="center"/>
    </xf>
    <xf borderId="1" fillId="5" fontId="1" numFmtId="164" xfId="0" applyAlignment="1" applyBorder="1" applyFill="1" applyFont="1" applyNumberFormat="1">
      <alignment horizontal="center"/>
    </xf>
    <xf borderId="1" fillId="0" fontId="1" numFmtId="166" xfId="0" applyAlignment="1" applyBorder="1" applyFont="1" applyNumberFormat="1">
      <alignment horizontal="center"/>
    </xf>
    <xf borderId="0" fillId="0" fontId="5" numFmtId="0" xfId="0" applyAlignment="1" applyFont="1">
      <alignment vertical="bottom"/>
    </xf>
    <xf borderId="1" fillId="6" fontId="6" numFmtId="0" xfId="0" applyAlignment="1" applyBorder="1" applyFill="1" applyFont="1">
      <alignment horizontal="center" readingOrder="0"/>
    </xf>
    <xf borderId="1" fillId="6" fontId="7" numFmtId="0" xfId="0" applyAlignment="1" applyBorder="1" applyFill="1" applyFont="1">
      <alignment horizontal="center" readingOrder="0"/>
    </xf>
    <xf borderId="1" fillId="0" fontId="1" numFmtId="166" xfId="0" applyAlignment="1" applyBorder="1" applyFont="1" applyNumberFormat="1">
      <alignment horizontal="center" readingOrder="0"/>
    </xf>
    <xf borderId="1" fillId="6" fontId="8" numFmtId="0" xfId="0" applyAlignment="1" applyBorder="1" applyFill="1" applyFont="1">
      <alignment horizontal="center" readingOrder="0"/>
    </xf>
    <xf borderId="1" fillId="7" fontId="9" numFmtId="10" xfId="0" applyAlignment="1" applyBorder="1" applyFill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2" fontId="1" numFmtId="0" xfId="0" applyBorder="1" applyFill="1" applyFont="1"/>
    <xf borderId="1" fillId="0" fontId="10" numFmtId="164" xfId="0" applyAlignment="1" applyBorder="1" applyFont="1" applyNumberFormat="1">
      <alignment horizontal="center"/>
    </xf>
    <xf borderId="1" fillId="2" fontId="1" numFmtId="164" xfId="0" applyBorder="1" applyFill="1" applyFont="1" applyNumberFormat="1"/>
    <xf borderId="1" fillId="2" fontId="1" numFmtId="4" xfId="0" applyBorder="1" applyFill="1" applyFont="1" applyNumberFormat="1"/>
    <xf borderId="1" fillId="2" fontId="1" numFmtId="10" xfId="0" applyBorder="1" applyFill="1" applyFont="1" applyNumberFormat="1"/>
    <xf borderId="1" fillId="0" fontId="1" numFmtId="167" xfId="0" applyAlignment="1" applyBorder="1" applyFont="1" applyNumberFormat="1">
      <alignment horizontal="center" readingOrder="0"/>
    </xf>
    <xf borderId="1" fillId="0" fontId="10" numFmtId="10" xfId="0" applyAlignment="1" applyBorder="1" applyFont="1" applyNumberFormat="1">
      <alignment horizontal="center"/>
    </xf>
    <xf borderId="1" fillId="0" fontId="1" numFmtId="166" xfId="0" applyAlignment="1" applyBorder="1" applyFont="1" applyNumberFormat="1">
      <alignment horizontal="center" readingOrder="0"/>
    </xf>
    <xf borderId="0" fillId="0" fontId="1" numFmtId="164" xfId="0" applyFont="1" applyNumberFormat="1"/>
    <xf borderId="1" fillId="0" fontId="1" numFmtId="166" xfId="0" applyAlignment="1" applyBorder="1" applyFont="1" applyNumberFormat="1">
      <alignment horizontal="center"/>
    </xf>
    <xf borderId="1" fillId="0" fontId="1" numFmtId="164" xfId="0" applyBorder="1" applyFont="1" applyNumberFormat="1"/>
    <xf borderId="1" fillId="0" fontId="1" numFmtId="4" xfId="0" applyAlignment="1" applyBorder="1" applyFont="1" applyNumberFormat="1">
      <alignment horizontal="center" readingOrder="0"/>
    </xf>
    <xf borderId="1" fillId="0" fontId="1" numFmtId="4" xfId="0" applyBorder="1" applyFont="1" applyNumberFormat="1"/>
    <xf borderId="0" fillId="0" fontId="1" numFmtId="4" xfId="0" applyFont="1" applyNumberFormat="1"/>
    <xf borderId="0" fillId="0" fontId="1" numFmtId="164" xfId="0" applyAlignment="1" applyFont="1" applyNumberFormat="1">
      <alignment horizontal="center"/>
    </xf>
    <xf borderId="0" fillId="0" fontId="1" numFmtId="166" xfId="0" applyFont="1" applyNumberFormat="1"/>
    <xf borderId="0" fillId="0" fontId="8" numFmtId="0" xfId="0" applyAlignment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8" fontId="1" numFmtId="166" xfId="0" applyAlignment="1" applyBorder="1" applyFill="1" applyFont="1" applyNumberFormat="1">
      <alignment horizontal="center"/>
    </xf>
    <xf borderId="1" fillId="0" fontId="1" numFmtId="10" xfId="0" applyBorder="1" applyFont="1" applyNumberFormat="1"/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000">
                <a:solidFill>
                  <a:schemeClr val="dk1"/>
                </a:solidFill>
                <a:latin typeface="Arial"/>
              </a:defRPr>
            </a:pPr>
            <a:r>
              <a:rPr b="1" sz="2000">
                <a:solidFill>
                  <a:schemeClr val="dk1"/>
                </a:solidFill>
                <a:latin typeface="Arial"/>
              </a:rPr>
              <a:t>INVERSIONES 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Portafolio!$F$6</c:f>
            </c:strRef>
          </c:tx>
          <c:dPt>
            <c:idx val="0"/>
            <c:spPr>
              <a:solidFill>
                <a:schemeClr val="accent6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CDB16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F6F3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1C768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0C343D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CC0000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8AB2C6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4D7D90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FF9A6F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609FAA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557177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DB4D4D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BCD3DE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3"/>
            <c:spPr>
              <a:solidFill>
                <a:srgbClr val="99B5C0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4"/>
            <c:spPr>
              <a:solidFill>
                <a:srgbClr val="FFC5AD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5"/>
            <c:spPr>
              <a:solidFill>
                <a:srgbClr val="A4C8CE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6"/>
            <c:spPr>
              <a:solidFill>
                <a:srgbClr val="9EAEB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Portafolio!$B$7:$B$1004</c:f>
            </c:strRef>
          </c:cat>
          <c:val>
            <c:numRef>
              <c:f>Portafolio!$F$7:$F$1004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  <c:spPr>
    <a:solidFill>
      <a:srgbClr val="6FA8DC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chemeClr val="dk1"/>
                </a:solidFill>
                <a:latin typeface="Arial"/>
              </a:defRPr>
            </a:pPr>
            <a:r>
              <a:rPr b="1" sz="2400">
                <a:solidFill>
                  <a:schemeClr val="dk1"/>
                </a:solidFill>
                <a:latin typeface="Arial"/>
              </a:rPr>
              <a:t>INVERTIDO EN USD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Portafolio!$K$6</c:f>
            </c:strRef>
          </c:tx>
          <c:spPr>
            <a:solidFill>
              <a:srgbClr val="FFE599">
                <a:alpha val="50196"/>
              </a:srgbClr>
            </a:solidFill>
            <a:ln cmpd="sng" w="19050">
              <a:noFill/>
              <a:prstDash val="solid"/>
            </a:ln>
          </c:spPr>
          <c:invertIfNegative val="0"/>
          <c:dPt>
            <c:idx val="0"/>
            <c:spPr>
              <a:solidFill>
                <a:srgbClr val="EA9999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D966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B6D7A8"/>
              </a:solidFill>
              <a:ln cmpd="sng">
                <a:noFill/>
              </a:ln>
            </c:spPr>
          </c:dPt>
          <c:cat>
            <c:strRef>
              <c:f>Portafolio!$B$7:$B$1004</c:f>
            </c:strRef>
          </c:cat>
          <c:val>
            <c:numRef>
              <c:f>Portafolio!$K$7:$K$1004</c:f>
              <c:numCache/>
            </c:numRef>
          </c:val>
        </c:ser>
        <c:axId val="1263990870"/>
        <c:axId val="1862082035"/>
      </c:barChart>
      <c:catAx>
        <c:axId val="1263990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Ticker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862082035"/>
      </c:catAx>
      <c:valAx>
        <c:axId val="1862082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Ganancia/Pérdida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263990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  <c:spPr>
    <a:solidFill>
      <a:srgbClr val="C9DAF8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47625</xdr:colOff>
      <xdr:row>0</xdr:row>
      <xdr:rowOff>180975</xdr:rowOff>
    </xdr:from>
    <xdr:ext cx="4000500" cy="2466975"/>
    <xdr:graphicFrame>
      <xdr:nvGraphicFramePr>
        <xdr:cNvPr id="1032631656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257175</xdr:colOff>
      <xdr:row>0</xdr:row>
      <xdr:rowOff>180975</xdr:rowOff>
    </xdr:from>
    <xdr:ext cx="4000500" cy="2466975"/>
    <xdr:graphicFrame>
      <xdr:nvGraphicFramePr>
        <xdr:cNvPr id="1382327420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C343D"/>
      </a:accent5>
      <a:accent6>
        <a:srgbClr val="CC0000"/>
      </a:accent6>
      <a:hlink>
        <a:srgbClr val="990000"/>
      </a:hlink>
      <a:folHlink>
        <a:srgbClr val="990000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1.5"/>
    <col customWidth="1" min="2" max="2" width="21.63"/>
    <col customWidth="1" min="3" max="3" width="13.0"/>
    <col customWidth="1" min="4" max="4" width="15.5"/>
    <col customWidth="1" min="5" max="5" width="16.25"/>
    <col customWidth="1" min="6" max="6" width="16.0"/>
    <col customWidth="1" min="7" max="7" width="21.75"/>
    <col customWidth="1" min="8" max="8" width="20.88"/>
    <col customWidth="1" min="9" max="9" width="19.5"/>
    <col customWidth="1" min="10" max="10" width="9.88"/>
    <col customWidth="1" min="11" max="11" width="18.5"/>
    <col customWidth="1" min="12" max="12" width="16.13"/>
    <col customWidth="1" min="13" max="13" width="21.13"/>
    <col customWidth="1" min="14" max="14" width="10.13"/>
    <col customWidth="1" min="15" max="29" width="7.63"/>
  </cols>
  <sheetData>
    <row r="1">
      <c r="A1" s="2" t="s">
        <v>0</v>
      </c>
      <c r="H1" s="4" t="s">
        <v>6</v>
      </c>
      <c r="I1" s="5"/>
    </row>
    <row r="2">
      <c r="H2" s="7"/>
      <c r="I2" s="5"/>
    </row>
    <row r="3">
      <c r="A3" s="9" t="s">
        <v>10</v>
      </c>
      <c r="B3" s="11" t="s">
        <v>14</v>
      </c>
      <c r="C3" s="11" t="s">
        <v>16</v>
      </c>
      <c r="D3" s="9" t="s">
        <v>18</v>
      </c>
      <c r="E3" s="9" t="s">
        <v>19</v>
      </c>
      <c r="F3" s="9" t="s">
        <v>15</v>
      </c>
      <c r="G3" s="13" t="s">
        <v>20</v>
      </c>
      <c r="H3" s="7"/>
      <c r="I3" s="5"/>
    </row>
    <row r="4">
      <c r="A4" s="17">
        <f>F4-E4</f>
        <v>1354247.196</v>
      </c>
      <c r="B4" s="18">
        <f>SUM(K7:K28)</f>
        <v>5667.298401</v>
      </c>
      <c r="C4" s="16">
        <v>1560.0</v>
      </c>
      <c r="D4" s="19">
        <f>(F4/E4)-1</f>
        <v>0.1811824743</v>
      </c>
      <c r="E4" s="20">
        <f>SUM(G7:G1004)</f>
        <v>7474493.33</v>
      </c>
      <c r="F4" s="17">
        <f>SUM(F7:F35)</f>
        <v>8828740.526</v>
      </c>
      <c r="G4" s="17">
        <f>SUMIF(Operaciones!$C:$C, "VENTA", Operaciones!$M:$M)</f>
        <v>91381.6</v>
      </c>
      <c r="H4" s="7"/>
      <c r="I4" s="5"/>
      <c r="J4" s="22"/>
      <c r="K4" s="22"/>
      <c r="L4" s="22"/>
      <c r="M4" s="22"/>
    </row>
    <row r="5">
      <c r="H5" s="7"/>
      <c r="I5" s="5"/>
      <c r="J5" s="22"/>
      <c r="K5" s="22"/>
      <c r="L5" s="22"/>
      <c r="M5" s="22"/>
    </row>
    <row r="6">
      <c r="A6" s="23" t="s">
        <v>24</v>
      </c>
      <c r="B6" s="24" t="s">
        <v>25</v>
      </c>
      <c r="C6" s="24" t="s">
        <v>4</v>
      </c>
      <c r="D6" s="24" t="s">
        <v>9</v>
      </c>
      <c r="E6" s="24" t="s">
        <v>13</v>
      </c>
      <c r="F6" s="24" t="s">
        <v>26</v>
      </c>
      <c r="G6" s="24" t="s">
        <v>27</v>
      </c>
      <c r="H6" s="26" t="s">
        <v>28</v>
      </c>
      <c r="I6" s="24" t="s">
        <v>29</v>
      </c>
      <c r="J6" s="27" t="s">
        <v>30</v>
      </c>
      <c r="K6" s="26" t="s">
        <v>31</v>
      </c>
      <c r="L6" s="26" t="s">
        <v>32</v>
      </c>
      <c r="M6" s="26" t="s">
        <v>33</v>
      </c>
    </row>
    <row r="7">
      <c r="A7" s="28" t="s">
        <v>34</v>
      </c>
      <c r="B7" s="28" t="s">
        <v>35</v>
      </c>
      <c r="C7" s="30">
        <f>SUMIF(Operaciones!$B:$B, B7, Operaciones!$D:$D) + SUMIF('Operaciones manuales'!$B:$B, B7, 'Operaciones manuales'!$D:$D)</f>
        <v>47</v>
      </c>
      <c r="D7" s="32">
        <f>IFERROR(SUMIF(Operaciones!B:B, B7, Operaciones!H:H) / SUMIF(Operaciones!B:B, B7, Operaciones!D:D), 0)</f>
        <v>8511.674128</v>
      </c>
      <c r="E7" s="17">
        <f>IFERROR(__xludf.DUMMYFUNCTION("GOOGLEFINANCE(""BCBA:"" &amp; B7, ""price"")"),8575.0)</f>
        <v>8575</v>
      </c>
      <c r="F7" s="32">
        <f t="shared" ref="F7:F21" si="1">C7*E7</f>
        <v>403025</v>
      </c>
      <c r="G7" s="17">
        <f>SUMIF(Operaciones!$B:$B, B7, Operaciones!$H:$H)</f>
        <v>400048.684</v>
      </c>
      <c r="H7" s="21">
        <f>SUMIF(Operaciones!$B:$B, B7, Operaciones!$J:$J)</f>
        <v>272.0696305</v>
      </c>
      <c r="I7" s="32">
        <f t="shared" ref="I7:I21" si="2">F7-G7</f>
        <v>2976.316</v>
      </c>
      <c r="J7" s="37">
        <f t="shared" ref="J7:J21" si="3">IFERROR(F7 / $F$4, 0)</f>
        <v>0.04564920657</v>
      </c>
      <c r="K7" s="21">
        <f t="shared" ref="K7:K21" si="4">F7 / $C$4</f>
        <v>258.349359</v>
      </c>
      <c r="L7" s="21">
        <f t="shared" ref="L7:L21" si="5">K7 - H7</f>
        <v>-13.72027155</v>
      </c>
      <c r="M7" s="19">
        <f t="shared" ref="M7:M21" si="6">(K7 / H7) - 1</f>
        <v>-0.05042926521</v>
      </c>
      <c r="N7" s="39"/>
    </row>
    <row r="8" hidden="1">
      <c r="A8" s="28" t="s">
        <v>38</v>
      </c>
      <c r="B8" s="28" t="s">
        <v>39</v>
      </c>
      <c r="C8" s="30">
        <f>SUMIF(Operaciones!$B:$B, B8, Operaciones!$D:$D) + SUMIF('Operaciones manuales'!$B:$B, B8, 'Operaciones manuales'!$D:$D)</f>
        <v>0</v>
      </c>
      <c r="D8" s="32">
        <f>IFERROR(SUMIF(Operaciones!B:B, B8, Operaciones!H:H) / SUMIF(Operaciones!B:B, B8, Operaciones!D:D), 0)</f>
        <v>0</v>
      </c>
      <c r="E8" s="17">
        <f>IFERROR(__xludf.DUMMYFUNCTION("GOOGLEFINANCE(""BCBA:"" &amp; B8, ""price"")"),10690.0)</f>
        <v>10690</v>
      </c>
      <c r="F8" s="32">
        <f t="shared" si="1"/>
        <v>0</v>
      </c>
      <c r="G8" s="17">
        <f>SUMIF(Operaciones!$B:$B, B8, Operaciones!$H:$H)</f>
        <v>12658.47</v>
      </c>
      <c r="H8" s="21">
        <f>SUMIF(Operaciones!$B:$B, B8, Operaciones!$J:$J)</f>
        <v>7.147969243</v>
      </c>
      <c r="I8" s="32">
        <f t="shared" si="2"/>
        <v>-12658.47</v>
      </c>
      <c r="J8" s="37">
        <f t="shared" si="3"/>
        <v>0</v>
      </c>
      <c r="K8" s="21">
        <f t="shared" si="4"/>
        <v>0</v>
      </c>
      <c r="L8" s="21">
        <f t="shared" si="5"/>
        <v>-7.147969243</v>
      </c>
      <c r="M8" s="19">
        <f t="shared" si="6"/>
        <v>-1</v>
      </c>
      <c r="N8" s="39"/>
    </row>
    <row r="9">
      <c r="A9" s="28" t="s">
        <v>41</v>
      </c>
      <c r="B9" s="28" t="s">
        <v>42</v>
      </c>
      <c r="C9" s="30">
        <f>SUMIF(Operaciones!$B:$B, B9, Operaciones!$D:$D) + SUMIF('Operaciones manuales'!$B:$B, B9, 'Operaciones manuales'!$D:$D)</f>
        <v>58</v>
      </c>
      <c r="D9" s="32">
        <f>IFERROR(SUMIF(Operaciones!B:B, B9, Operaciones!H:H) / SUMIF(Operaciones!B:B, B9, Operaciones!D:D), 0)</f>
        <v>6733.015517</v>
      </c>
      <c r="E9" s="17">
        <f>IFERROR(__xludf.DUMMYFUNCTION("GOOGLEFINANCE(""BCBA:"" &amp; B9, ""price"")"),7655.0)</f>
        <v>7655</v>
      </c>
      <c r="F9" s="32">
        <f t="shared" si="1"/>
        <v>443990</v>
      </c>
      <c r="G9" s="17">
        <f>SUMIF(Operaciones!$B:$B, B9, Operaciones!$H:$H)</f>
        <v>390514.9</v>
      </c>
      <c r="H9" s="21">
        <f>SUMIF(Operaciones!$B:$B, B9, Operaciones!$J:$J)</f>
        <v>261.5936332</v>
      </c>
      <c r="I9" s="32">
        <f t="shared" si="2"/>
        <v>53475.1</v>
      </c>
      <c r="J9" s="37">
        <f t="shared" si="3"/>
        <v>0.05028916624</v>
      </c>
      <c r="K9" s="21">
        <f t="shared" si="4"/>
        <v>284.6089744</v>
      </c>
      <c r="L9" s="21">
        <f t="shared" si="5"/>
        <v>23.01534118</v>
      </c>
      <c r="M9" s="19">
        <f t="shared" si="6"/>
        <v>0.08798127425</v>
      </c>
      <c r="N9" s="39"/>
    </row>
    <row r="10">
      <c r="A10" s="28" t="s">
        <v>47</v>
      </c>
      <c r="B10" s="28" t="s">
        <v>40</v>
      </c>
      <c r="C10" s="30">
        <f>SUMIF(Operaciones!$B:$B, B10, Operaciones!$D:$D) + SUMIF('Operaciones manuales'!$B:$B, B10, 'Operaciones manuales'!$D:$D)</f>
        <v>19</v>
      </c>
      <c r="D10" s="32">
        <f>IFERROR(SUMIF(Operaciones!B:B, B10, Operaciones!H:H) / SUMIF(Operaciones!B:B, B10, Operaciones!D:D), 0)</f>
        <v>23471.21684</v>
      </c>
      <c r="E10" s="17">
        <f>IFERROR(__xludf.DUMMYFUNCTION("GOOGLEFINANCE(""BCBA:"" &amp; B10, ""price"")"),23260.0)</f>
        <v>23260</v>
      </c>
      <c r="F10" s="32">
        <f t="shared" si="1"/>
        <v>441940</v>
      </c>
      <c r="G10" s="17">
        <f>SUMIF(Operaciones!$B:$B, B10, Operaciones!$H:$H)</f>
        <v>445953.12</v>
      </c>
      <c r="H10" s="21">
        <f>SUMIF(Operaciones!$B:$B, B10, Operaciones!$J:$J)</f>
        <v>306.8949386</v>
      </c>
      <c r="I10" s="32">
        <f t="shared" si="2"/>
        <v>-4013.12</v>
      </c>
      <c r="J10" s="37">
        <f t="shared" si="3"/>
        <v>0.05005697004</v>
      </c>
      <c r="K10" s="21">
        <f t="shared" si="4"/>
        <v>283.2948718</v>
      </c>
      <c r="L10" s="21">
        <f t="shared" si="5"/>
        <v>-23.60006676</v>
      </c>
      <c r="M10" s="19">
        <f t="shared" si="6"/>
        <v>-0.07689949814</v>
      </c>
    </row>
    <row r="11">
      <c r="A11" s="28" t="s">
        <v>48</v>
      </c>
      <c r="B11" s="28" t="s">
        <v>48</v>
      </c>
      <c r="C11" s="30">
        <f>SUMIF(Operaciones!$B:$B, B11, Operaciones!$D:$D) + SUMIF('Operaciones manuales'!$B:$B, B11, 'Operaciones manuales'!$D:$D)</f>
        <v>14</v>
      </c>
      <c r="D11" s="32">
        <f>IFERROR(SUMIF(Operaciones!B:B, B11, Operaciones!H:H) / SUMIF(Operaciones!B:B, B11, Operaciones!D:D), 0)</f>
        <v>39048.75214</v>
      </c>
      <c r="E11" s="17">
        <f>IFERROR(__xludf.DUMMYFUNCTION("GOOGLEFINANCE(""BCBA:"" &amp; B11, ""price"")"),49700.0)</f>
        <v>49700</v>
      </c>
      <c r="F11" s="32">
        <f t="shared" si="1"/>
        <v>695800</v>
      </c>
      <c r="G11" s="17">
        <f>SUMIF(Operaciones!$B:$B, B11, Operaciones!$H:$H)</f>
        <v>546682.53</v>
      </c>
      <c r="H11" s="21">
        <f>SUMIF(Operaciones!$B:$B, B11, Operaciones!$J:$J)</f>
        <v>374.4282837</v>
      </c>
      <c r="I11" s="32">
        <f t="shared" si="2"/>
        <v>149117.47</v>
      </c>
      <c r="J11" s="37">
        <f t="shared" si="3"/>
        <v>0.07881078824</v>
      </c>
      <c r="K11" s="21">
        <f t="shared" si="4"/>
        <v>446.025641</v>
      </c>
      <c r="L11" s="21">
        <f t="shared" si="5"/>
        <v>71.59735728</v>
      </c>
      <c r="M11" s="19">
        <f t="shared" si="6"/>
        <v>0.1912178123</v>
      </c>
    </row>
    <row r="12">
      <c r="A12" s="28" t="s">
        <v>53</v>
      </c>
      <c r="B12" s="28" t="s">
        <v>49</v>
      </c>
      <c r="C12" s="30">
        <f>SUMIF(Operaciones!$B:$B, B12, Operaciones!$D:$D) + SUMIF('Operaciones manuales'!$B:$B, B12, 'Operaciones manuales'!$D:$D)</f>
        <v>39</v>
      </c>
      <c r="D12" s="32">
        <f>IFERROR(SUMIF(Operaciones!B:B, B12, Operaciones!H:H) / SUMIF(Operaciones!B:B, B12, Operaciones!D:D), 0)</f>
        <v>21338.24795</v>
      </c>
      <c r="E12" s="17">
        <f>IFERROR(__xludf.DUMMYFUNCTION("GOOGLEFINANCE(""BCBA:"" &amp; B12, ""price"")"),27260.0)</f>
        <v>27260</v>
      </c>
      <c r="F12" s="32">
        <f t="shared" si="1"/>
        <v>1063140</v>
      </c>
      <c r="G12" s="17">
        <f>SUMIF(Operaciones!$B:$B, B12, Operaciones!$H:$H)</f>
        <v>832191.67</v>
      </c>
      <c r="H12" s="21">
        <f>SUMIF(Operaciones!$B:$B, B12, Operaciones!$J:$J)</f>
        <v>568.2026211</v>
      </c>
      <c r="I12" s="32">
        <f t="shared" si="2"/>
        <v>230948.33</v>
      </c>
      <c r="J12" s="37">
        <f t="shared" si="3"/>
        <v>0.1204180819</v>
      </c>
      <c r="K12" s="21">
        <f t="shared" si="4"/>
        <v>681.5</v>
      </c>
      <c r="L12" s="21">
        <f t="shared" si="5"/>
        <v>113.2973789</v>
      </c>
      <c r="M12" s="19">
        <f t="shared" si="6"/>
        <v>0.1993960863</v>
      </c>
    </row>
    <row r="13">
      <c r="A13" s="28" t="s">
        <v>56</v>
      </c>
      <c r="B13" s="28" t="s">
        <v>54</v>
      </c>
      <c r="C13" s="30">
        <f>SUMIF(Operaciones!$B:$B, B13, Operaciones!$D:$D) + SUMIF('Operaciones manuales'!$B:$B, B13, 'Operaciones manuales'!$D:$D)</f>
        <v>2</v>
      </c>
      <c r="D13" s="32">
        <f>IFERROR(SUMIF(Operaciones!B:B, B13, Operaciones!H:H) / SUMIF(Operaciones!B:B, B13, Operaciones!D:D), 0)</f>
        <v>182706.845</v>
      </c>
      <c r="E13" s="17">
        <f>IFERROR(__xludf.DUMMYFUNCTION("GOOGLEFINANCE(""BCBA:"" &amp; B13, ""price"")"),344500.0)</f>
        <v>344500</v>
      </c>
      <c r="F13" s="32">
        <f t="shared" si="1"/>
        <v>689000</v>
      </c>
      <c r="G13" s="17">
        <f>SUMIF(Operaciones!$B:$B, B13, Operaciones!$H:$H)</f>
        <v>365413.69</v>
      </c>
      <c r="H13" s="21">
        <f>SUMIF(Operaciones!$B:$B, B13, Operaciones!$J:$J)</f>
        <v>242.088854</v>
      </c>
      <c r="I13" s="32">
        <f t="shared" si="2"/>
        <v>323586.31</v>
      </c>
      <c r="J13" s="37">
        <f t="shared" si="3"/>
        <v>0.07804057646</v>
      </c>
      <c r="K13" s="21">
        <f t="shared" si="4"/>
        <v>441.6666667</v>
      </c>
      <c r="L13" s="21">
        <f t="shared" si="5"/>
        <v>199.5778127</v>
      </c>
      <c r="M13" s="19">
        <f t="shared" si="6"/>
        <v>0.8243990146</v>
      </c>
    </row>
    <row r="14">
      <c r="A14" s="28" t="s">
        <v>57</v>
      </c>
      <c r="B14" s="28" t="s">
        <v>51</v>
      </c>
      <c r="C14" s="30">
        <f>SUMIF(Operaciones!$B:$B, B14, Operaciones!$D:$D) + SUMIF('Operaciones manuales'!$B:$B, B14, 'Operaciones manuales'!$D:$D)</f>
        <v>41</v>
      </c>
      <c r="D14" s="32">
        <f>IFERROR(SUMIF(Operaciones!B:B, B14, Operaciones!H:H) / SUMIF(Operaciones!B:B, B14, Operaciones!D:D), 0)</f>
        <v>11070.56098</v>
      </c>
      <c r="E14" s="17">
        <f>IFERROR(__xludf.DUMMYFUNCTION("IFERROR(VLOOKUP(""*"" &amp; B8 &amp; ""*"", 'PRECIOS IOL'!$A:$B, 2, FALSE), GOOGLEFINANCE(""BCBA:"" &amp; B8))"),10690.0)</f>
        <v>10690</v>
      </c>
      <c r="F14" s="32">
        <f t="shared" si="1"/>
        <v>438290</v>
      </c>
      <c r="G14" s="17">
        <f>SUMIF(Operaciones!$B:$B, B14, Operaciones!$H:$H)</f>
        <v>453893</v>
      </c>
      <c r="H14" s="21">
        <f>SUMIF(Operaciones!$B:$B, B14, Operaciones!$J:$J)</f>
        <v>310.112446</v>
      </c>
      <c r="I14" s="32">
        <f t="shared" si="2"/>
        <v>-15603</v>
      </c>
      <c r="J14" s="37">
        <f t="shared" si="3"/>
        <v>0.04964354754</v>
      </c>
      <c r="K14" s="21">
        <f t="shared" si="4"/>
        <v>280.9551282</v>
      </c>
      <c r="L14" s="21">
        <f t="shared" si="5"/>
        <v>-29.15731784</v>
      </c>
      <c r="M14" s="19">
        <f t="shared" si="6"/>
        <v>-0.09402175958</v>
      </c>
    </row>
    <row r="15">
      <c r="A15" s="28" t="s">
        <v>58</v>
      </c>
      <c r="B15" s="28" t="s">
        <v>43</v>
      </c>
      <c r="C15" s="30">
        <f>SUMIF(Operaciones!$B:$B, B15, Operaciones!$D:$D) + SUMIF('Operaciones manuales'!$B:$B, B15, 'Operaciones manuales'!$D:$D)</f>
        <v>53</v>
      </c>
      <c r="D15" s="32">
        <f>IFERROR(SUMIF(Operaciones!B:B, B15, Operaciones!H:H) / SUMIF(Operaciones!B:B, B15, Operaciones!D:D), 0)</f>
        <v>12752.89321</v>
      </c>
      <c r="E15" s="17">
        <f>IFERROR(__xludf.DUMMYFUNCTION("GOOGLEFINANCE(""BCBA:"" &amp; B15, ""price"")"),15260.0)</f>
        <v>15260</v>
      </c>
      <c r="F15" s="32">
        <f t="shared" si="1"/>
        <v>808780</v>
      </c>
      <c r="G15" s="17">
        <f>SUMIF(Operaciones!$B:$B, B15, Operaciones!$H:$H)</f>
        <v>675903.34</v>
      </c>
      <c r="H15" s="21">
        <f>SUMIF(Operaciones!$B:$B, B15, Operaciones!$J:$J)</f>
        <v>453.124751</v>
      </c>
      <c r="I15" s="32">
        <f t="shared" si="2"/>
        <v>132876.66</v>
      </c>
      <c r="J15" s="37">
        <f t="shared" si="3"/>
        <v>0.09160763052</v>
      </c>
      <c r="K15" s="21">
        <f t="shared" si="4"/>
        <v>518.4487179</v>
      </c>
      <c r="L15" s="21">
        <f t="shared" si="5"/>
        <v>65.32396696</v>
      </c>
      <c r="M15" s="19">
        <f t="shared" si="6"/>
        <v>0.1441633167</v>
      </c>
    </row>
    <row r="16">
      <c r="A16" s="28" t="s">
        <v>62</v>
      </c>
      <c r="B16" s="28" t="s">
        <v>44</v>
      </c>
      <c r="C16" s="30">
        <f>SUMIF(Operaciones!$B:$B, B16, Operaciones!$D:$D) + SUMIF('Operaciones manuales'!$B:$B, B16, 'Operaciones manuales'!$D:$D)</f>
        <v>59</v>
      </c>
      <c r="D16" s="32">
        <f>IFERROR(SUMIF(Operaciones!B:B, B16, Operaciones!H:H) / SUMIF(Operaciones!B:B, B16, Operaciones!D:D), 0)</f>
        <v>5175.504407</v>
      </c>
      <c r="E16" s="17">
        <f>IFERROR(__xludf.DUMMYFUNCTION("GOOGLEFINANCE(""BCBA:"" &amp; B16, ""price"")"),4965.0)</f>
        <v>4965</v>
      </c>
      <c r="F16" s="32">
        <f t="shared" si="1"/>
        <v>292935</v>
      </c>
      <c r="G16" s="17">
        <f>SUMIF(Operaciones!$B:$B, B16, Operaciones!$H:$H)</f>
        <v>305354.76</v>
      </c>
      <c r="H16" s="21">
        <f>SUMIF(Operaciones!$B:$B, B16, Operaciones!$J:$J)</f>
        <v>208.5330451</v>
      </c>
      <c r="I16" s="32">
        <f t="shared" si="2"/>
        <v>-12419.76</v>
      </c>
      <c r="J16" s="37">
        <f t="shared" si="3"/>
        <v>0.0331797043</v>
      </c>
      <c r="K16" s="21">
        <f t="shared" si="4"/>
        <v>187.7788462</v>
      </c>
      <c r="L16" s="21">
        <f t="shared" si="5"/>
        <v>-20.75419891</v>
      </c>
      <c r="M16" s="19">
        <f t="shared" si="6"/>
        <v>-0.09952474874</v>
      </c>
      <c r="N16" s="39"/>
    </row>
    <row r="17">
      <c r="A17" s="28" t="s">
        <v>64</v>
      </c>
      <c r="B17" s="28" t="s">
        <v>45</v>
      </c>
      <c r="C17" s="30">
        <f>SUMIF(Operaciones!$B:$B, B17, Operaciones!$D:$D) + SUMIF('Operaciones manuales'!$B:$B, B17, 'Operaciones manuales'!$D:$D)</f>
        <v>30</v>
      </c>
      <c r="D17" s="32">
        <f>IFERROR(SUMIF(Operaciones!B:B, B17, Operaciones!H:H) / SUMIF(Operaciones!B:B, B17, Operaciones!D:D), 0)</f>
        <v>5574.852667</v>
      </c>
      <c r="E17" s="17">
        <f>IFERROR(__xludf.DUMMYFUNCTION("GOOGLEFINANCE(""BCBA:"" &amp; B17, ""price"")"),12320.0)</f>
        <v>12320</v>
      </c>
      <c r="F17" s="32">
        <f t="shared" si="1"/>
        <v>369600</v>
      </c>
      <c r="G17" s="17">
        <f>SUMIF(Operaciones!$B:$B, B17, Operaciones!$H:$H)</f>
        <v>167245.58</v>
      </c>
      <c r="H17" s="21">
        <f>SUMIF(Operaciones!$B:$B, B17, Operaciones!$J:$J)</f>
        <v>113.9345682</v>
      </c>
      <c r="I17" s="32">
        <f t="shared" si="2"/>
        <v>202354.42</v>
      </c>
      <c r="J17" s="37">
        <f t="shared" si="3"/>
        <v>0.04186327585</v>
      </c>
      <c r="K17" s="21">
        <f t="shared" si="4"/>
        <v>236.9230769</v>
      </c>
      <c r="L17" s="21">
        <f t="shared" si="5"/>
        <v>122.9885087</v>
      </c>
      <c r="M17" s="19">
        <f t="shared" si="6"/>
        <v>1.079466141</v>
      </c>
      <c r="N17" s="46"/>
    </row>
    <row r="18">
      <c r="A18" s="28" t="s">
        <v>66</v>
      </c>
      <c r="B18" s="28" t="s">
        <v>55</v>
      </c>
      <c r="C18" s="30">
        <f>SUMIF(Operaciones!$B:$B, B18, Operaciones!$D:$D) + SUMIF('Operaciones manuales'!$B:$B, B18, 'Operaciones manuales'!$D:$D)</f>
        <v>48</v>
      </c>
      <c r="D18" s="32">
        <f>IFERROR(SUMIF(Operaciones!B:B, B18, Operaciones!H:H) / SUMIF(Operaciones!B:B, B18, Operaciones!D:D), 0)</f>
        <v>17186.36125</v>
      </c>
      <c r="E18" s="17">
        <f>IFERROR(__xludf.DUMMYFUNCTION("GOOGLEFINANCE(""BCBA:"" &amp; B18, ""price"")"),20600.0)</f>
        <v>20600</v>
      </c>
      <c r="F18" s="32">
        <f t="shared" si="1"/>
        <v>988800</v>
      </c>
      <c r="G18" s="17">
        <f>SUMIF(Operaciones!$B:$B, B18, Operaciones!$H:$H)</f>
        <v>824945.34</v>
      </c>
      <c r="H18" s="21">
        <f>SUMIF(Operaciones!$B:$B, B18, Operaciones!$J:$J)</f>
        <v>571.7476451</v>
      </c>
      <c r="I18" s="32">
        <f t="shared" si="2"/>
        <v>163854.66</v>
      </c>
      <c r="J18" s="37">
        <f t="shared" si="3"/>
        <v>0.1119978549</v>
      </c>
      <c r="K18" s="21">
        <f t="shared" si="4"/>
        <v>633.8461538</v>
      </c>
      <c r="L18" s="21">
        <f t="shared" si="5"/>
        <v>62.09850872</v>
      </c>
      <c r="M18" s="19">
        <f t="shared" si="6"/>
        <v>0.1086117437</v>
      </c>
    </row>
    <row r="19">
      <c r="A19" s="28" t="s">
        <v>67</v>
      </c>
      <c r="B19" s="28" t="s">
        <v>52</v>
      </c>
      <c r="C19" s="30">
        <f>SUMIF(Operaciones!$B:$B, B19, Operaciones!$D:$D) + SUMIF('Operaciones manuales'!$B:$B, B19, 'Operaciones manuales'!$D:$D)</f>
        <v>8</v>
      </c>
      <c r="D19" s="32">
        <f>IFERROR(SUMIF(Operaciones!B:B, B19, Operaciones!H:H) / SUMIF(Operaciones!B:B, B19, Operaciones!D:D), 0)</f>
        <v>24357.17</v>
      </c>
      <c r="E19" s="17">
        <f>IFERROR(__xludf.DUMMYFUNCTION("GOOGLEFINANCE(""BCBA:"" &amp; B19, ""price"")"),36000.0)</f>
        <v>36000</v>
      </c>
      <c r="F19" s="32">
        <f t="shared" si="1"/>
        <v>288000</v>
      </c>
      <c r="G19" s="17">
        <f>SUMIF(Operaciones!$B:$B, B19, Operaciones!$H:$H)</f>
        <v>194857.36</v>
      </c>
      <c r="H19" s="21">
        <f>SUMIF(Operaciones!$B:$B, B19, Operaciones!$J:$J)</f>
        <v>129.74622</v>
      </c>
      <c r="I19" s="32">
        <f t="shared" si="2"/>
        <v>93142.64</v>
      </c>
      <c r="J19" s="37">
        <f t="shared" si="3"/>
        <v>0.03262073443</v>
      </c>
      <c r="K19" s="21">
        <f t="shared" si="4"/>
        <v>184.6153846</v>
      </c>
      <c r="L19" s="21">
        <f t="shared" si="5"/>
        <v>54.86916462</v>
      </c>
      <c r="M19" s="19">
        <f t="shared" si="6"/>
        <v>0.4228960553</v>
      </c>
    </row>
    <row r="20">
      <c r="A20" s="15" t="s">
        <v>68</v>
      </c>
      <c r="B20" s="15" t="s">
        <v>63</v>
      </c>
      <c r="C20" s="30">
        <f>SUMIF(Operaciones!$B:$B, B20, Operaciones!$D:$D) + SUMIF('Operaciones manuales'!$B:$B, B20, 'Operaciones manuales'!$D:$D)</f>
        <v>101</v>
      </c>
      <c r="D20" s="32">
        <f>IFERROR(SUMIF(Operaciones!B:B, B20, Operaciones!H:H) / SUMIF(Operaciones!B:B, B20, Operaciones!D:D), 0)</f>
        <v>3438.004851</v>
      </c>
      <c r="E20" s="17">
        <f>IFERROR(__xludf.DUMMYFUNCTION("GOOGLEFINANCE(""BCBA:"" &amp; B20, ""price"")"),3790.0)</f>
        <v>3790</v>
      </c>
      <c r="F20" s="32">
        <f t="shared" si="1"/>
        <v>382790</v>
      </c>
      <c r="G20" s="17">
        <f>SUMIF(Operaciones!$B:$B, B20, Operaciones!$H:$H)</f>
        <v>347238.49</v>
      </c>
      <c r="H20" s="21">
        <f>SUMIF(Operaciones!$B:$B, B20, Operaciones!$J:$J)</f>
        <v>236.925115</v>
      </c>
      <c r="I20" s="32">
        <f t="shared" si="2"/>
        <v>35551.51</v>
      </c>
      <c r="J20" s="37">
        <f t="shared" si="3"/>
        <v>0.04335726018</v>
      </c>
      <c r="K20" s="21">
        <f t="shared" si="4"/>
        <v>245.3782051</v>
      </c>
      <c r="L20" s="21">
        <f t="shared" si="5"/>
        <v>8.45309008</v>
      </c>
      <c r="M20" s="19">
        <f t="shared" si="6"/>
        <v>0.03567832004</v>
      </c>
    </row>
    <row r="21">
      <c r="A21" s="15" t="s">
        <v>69</v>
      </c>
      <c r="B21" s="15" t="s">
        <v>65</v>
      </c>
      <c r="C21" s="30">
        <f>SUMIF(Operaciones!$B:$B, B21, Operaciones!$D:$D) + SUMIF('Operaciones manuales'!$B:$B, B21, 'Operaciones manuales'!$D:$D)</f>
        <v>24</v>
      </c>
      <c r="D21" s="32">
        <f>IFERROR(SUMIF(Operaciones!B:B, B21, Operaciones!H:H) / SUMIF(Operaciones!B:B, B21, Operaciones!D:D), 0)</f>
        <v>17311.91583</v>
      </c>
      <c r="E21" s="17">
        <f>IFERROR(__xludf.DUMMYFUNCTION("GOOGLEFINANCE(""BCBA:"" &amp; B21, ""price"")"),15770.0)</f>
        <v>15770</v>
      </c>
      <c r="F21" s="32">
        <f t="shared" si="1"/>
        <v>378480</v>
      </c>
      <c r="G21" s="17">
        <f>SUMIF(Operaciones!$B:$B, B21, Operaciones!$H:$H)</f>
        <v>415485.98</v>
      </c>
      <c r="H21" s="21">
        <f>SUMIF(Operaciones!$B:$B, B21, Operaciones!$J:$J)</f>
        <v>273.627681</v>
      </c>
      <c r="I21" s="32">
        <f t="shared" si="2"/>
        <v>-37005.98</v>
      </c>
      <c r="J21" s="37">
        <f t="shared" si="3"/>
        <v>0.04286908182</v>
      </c>
      <c r="K21" s="21">
        <f t="shared" si="4"/>
        <v>242.6153846</v>
      </c>
      <c r="L21" s="21">
        <f t="shared" si="5"/>
        <v>-31.01229639</v>
      </c>
      <c r="M21" s="19">
        <f t="shared" si="6"/>
        <v>-0.1133375698</v>
      </c>
    </row>
    <row r="25">
      <c r="A25" s="47" t="s">
        <v>70</v>
      </c>
      <c r="H25" s="7"/>
      <c r="I25" s="5"/>
    </row>
    <row r="26" ht="15.75" customHeight="1">
      <c r="A26" s="23" t="s">
        <v>24</v>
      </c>
      <c r="B26" s="24" t="s">
        <v>25</v>
      </c>
      <c r="C26" s="24" t="s">
        <v>4</v>
      </c>
      <c r="D26" s="24" t="s">
        <v>9</v>
      </c>
      <c r="E26" s="24" t="s">
        <v>13</v>
      </c>
      <c r="F26" s="24" t="s">
        <v>26</v>
      </c>
      <c r="G26" s="24" t="s">
        <v>27</v>
      </c>
      <c r="H26" s="26" t="s">
        <v>28</v>
      </c>
      <c r="I26" s="24" t="s">
        <v>29</v>
      </c>
      <c r="J26" s="27" t="s">
        <v>30</v>
      </c>
      <c r="K26" s="26" t="s">
        <v>31</v>
      </c>
      <c r="L26" s="26" t="s">
        <v>32</v>
      </c>
      <c r="M26" s="26" t="s">
        <v>33</v>
      </c>
    </row>
    <row r="27" ht="15.75" customHeight="1">
      <c r="A27" s="15" t="s">
        <v>71</v>
      </c>
      <c r="B27" s="15" t="s">
        <v>23</v>
      </c>
      <c r="C27" s="42">
        <v>37004.52</v>
      </c>
      <c r="D27" s="16">
        <v>11.0</v>
      </c>
      <c r="E27" s="16">
        <v>12.28</v>
      </c>
      <c r="F27" s="17">
        <f>E27*C27</f>
        <v>454415.5056</v>
      </c>
      <c r="G27" s="17">
        <f>SUMIF('Operaciones manuales'!B:B, "IOLCAMA", 'Operaciones manuales'!F:F)</f>
        <v>406351.396</v>
      </c>
      <c r="H27" s="49">
        <f>SUMIF('Operaciones manuales'!$B:$B, B27, 'Operaciones manuales'!$J:$J)</f>
        <v>286.1751028</v>
      </c>
      <c r="I27" s="17">
        <f t="shared" ref="I27:I28" si="7">F27-G27</f>
        <v>48064.10958</v>
      </c>
      <c r="J27" s="29"/>
      <c r="K27" s="21">
        <f>F27 / $C$4</f>
        <v>291.2919908</v>
      </c>
      <c r="L27" s="21">
        <f>K27 - H27</f>
        <v>5.116887938</v>
      </c>
      <c r="M27" s="19">
        <f>(K27 / H27) - 1</f>
        <v>0.01788026941</v>
      </c>
    </row>
    <row r="28" ht="15.75" customHeight="1">
      <c r="A28" s="15" t="s">
        <v>72</v>
      </c>
      <c r="B28" s="15" t="s">
        <v>37</v>
      </c>
      <c r="C28" s="15">
        <v>414.175</v>
      </c>
      <c r="D28" s="15">
        <v>1671.05</v>
      </c>
      <c r="E28" s="15">
        <v>1685.28</v>
      </c>
      <c r="F28" s="16">
        <f>G28</f>
        <v>689755.02</v>
      </c>
      <c r="G28" s="16">
        <v>689755.02</v>
      </c>
      <c r="H28" s="15">
        <v>451.0</v>
      </c>
      <c r="I28" s="17">
        <f t="shared" si="7"/>
        <v>0</v>
      </c>
      <c r="J28" s="29"/>
      <c r="K28" s="15">
        <v>450.0</v>
      </c>
      <c r="L28" s="29"/>
      <c r="M28" s="19"/>
    </row>
    <row r="29" ht="15.75" customHeight="1">
      <c r="A29" s="29"/>
      <c r="B29" s="29"/>
      <c r="C29" s="29"/>
      <c r="D29" s="29"/>
      <c r="E29" s="29"/>
      <c r="F29" s="29"/>
      <c r="G29" s="29"/>
      <c r="H29" s="29"/>
      <c r="I29" s="19"/>
      <c r="J29" s="29"/>
      <c r="K29" s="29"/>
      <c r="L29" s="29"/>
      <c r="M29" s="19"/>
    </row>
    <row r="30" ht="15.75" customHeight="1">
      <c r="H30" s="7"/>
      <c r="I30" s="5"/>
      <c r="K30" s="7"/>
      <c r="M30" s="7"/>
      <c r="N30" s="5"/>
    </row>
    <row r="31" ht="15.75" customHeight="1">
      <c r="H31" s="7"/>
      <c r="I31" s="5"/>
      <c r="M31" s="7"/>
      <c r="N31" s="5"/>
    </row>
    <row r="32" ht="15.75" customHeight="1">
      <c r="H32" s="7"/>
      <c r="I32" s="5"/>
      <c r="M32" s="7"/>
      <c r="N32" s="5"/>
    </row>
    <row r="33" ht="15.75" customHeight="1">
      <c r="H33" s="7"/>
      <c r="I33" s="5"/>
      <c r="M33" s="7"/>
      <c r="N33" s="5"/>
    </row>
    <row r="34" ht="15.75" customHeight="1">
      <c r="H34" s="7"/>
      <c r="I34" s="5"/>
      <c r="M34" s="7"/>
      <c r="N34" s="5"/>
    </row>
    <row r="35" ht="15.75" customHeight="1">
      <c r="H35" s="7"/>
      <c r="I35" s="5"/>
      <c r="M35" s="7"/>
      <c r="N35" s="5"/>
    </row>
    <row r="36" ht="15.75" customHeight="1">
      <c r="H36" s="7"/>
      <c r="I36" s="5"/>
      <c r="L36" s="7"/>
      <c r="M36" s="5"/>
    </row>
    <row r="37" ht="15.75" customHeight="1">
      <c r="H37" s="7"/>
      <c r="I37" s="5"/>
    </row>
    <row r="38" ht="15.75" customHeight="1">
      <c r="H38" s="7"/>
      <c r="I38" s="5"/>
    </row>
    <row r="39" ht="15.75" customHeight="1">
      <c r="H39" s="7"/>
      <c r="I39" s="5"/>
    </row>
    <row r="40" ht="15.75" customHeight="1">
      <c r="H40" s="7"/>
      <c r="I40" s="5"/>
    </row>
    <row r="41" ht="15.75" customHeight="1">
      <c r="H41" s="7"/>
      <c r="I41" s="5"/>
    </row>
    <row r="42" ht="15.75" customHeight="1">
      <c r="H42" s="7"/>
      <c r="I42" s="5"/>
    </row>
    <row r="43" ht="15.75" customHeight="1">
      <c r="H43" s="7"/>
      <c r="I43" s="5"/>
    </row>
    <row r="44" ht="15.75" customHeight="1">
      <c r="H44" s="7"/>
      <c r="I44" s="5"/>
    </row>
    <row r="45" ht="15.75" customHeight="1">
      <c r="H45" s="7"/>
      <c r="I45" s="5"/>
    </row>
    <row r="46" ht="15.75" customHeight="1">
      <c r="H46" s="7"/>
      <c r="I46" s="5"/>
    </row>
    <row r="47" ht="15.75" customHeight="1">
      <c r="H47" s="7"/>
      <c r="I47" s="5"/>
    </row>
    <row r="48" ht="15.75" customHeight="1">
      <c r="H48" s="7"/>
      <c r="I48" s="5"/>
    </row>
    <row r="49" ht="15.75" customHeight="1">
      <c r="H49" s="7"/>
      <c r="I49" s="5"/>
    </row>
    <row r="50" ht="15.75" customHeight="1">
      <c r="H50" s="7"/>
      <c r="I50" s="5"/>
    </row>
    <row r="51" ht="15.75" customHeight="1">
      <c r="H51" s="7"/>
      <c r="I51" s="5"/>
    </row>
    <row r="52" ht="15.75" customHeight="1">
      <c r="H52" s="7"/>
      <c r="I52" s="5"/>
    </row>
    <row r="53" ht="15.75" customHeight="1">
      <c r="H53" s="7"/>
      <c r="I53" s="5"/>
    </row>
    <row r="54" ht="15.75" customHeight="1">
      <c r="H54" s="7"/>
      <c r="I54" s="5"/>
    </row>
    <row r="55" ht="15.75" customHeight="1">
      <c r="H55" s="7"/>
      <c r="I55" s="5"/>
    </row>
    <row r="56" ht="15.75" customHeight="1">
      <c r="H56" s="7"/>
      <c r="I56" s="5"/>
    </row>
    <row r="57" ht="15.75" customHeight="1">
      <c r="H57" s="7"/>
      <c r="I57" s="5"/>
    </row>
    <row r="58" ht="15.75" customHeight="1">
      <c r="H58" s="7"/>
      <c r="I58" s="5"/>
    </row>
    <row r="59" ht="15.75" customHeight="1">
      <c r="H59" s="7"/>
      <c r="I59" s="5"/>
    </row>
    <row r="60" ht="15.75" customHeight="1">
      <c r="H60" s="7"/>
      <c r="I60" s="5"/>
    </row>
    <row r="61" ht="15.75" customHeight="1">
      <c r="H61" s="7"/>
      <c r="I61" s="5"/>
    </row>
    <row r="62" ht="15.75" customHeight="1">
      <c r="H62" s="7"/>
      <c r="I62" s="5"/>
    </row>
    <row r="63" ht="15.75" customHeight="1">
      <c r="H63" s="7"/>
      <c r="I63" s="5"/>
    </row>
    <row r="64" ht="15.75" customHeight="1">
      <c r="H64" s="7"/>
      <c r="I64" s="5"/>
    </row>
    <row r="65" ht="15.75" customHeight="1">
      <c r="H65" s="7"/>
      <c r="I65" s="5"/>
    </row>
    <row r="66" ht="15.75" customHeight="1">
      <c r="H66" s="7"/>
      <c r="I66" s="5"/>
    </row>
    <row r="67" ht="15.75" customHeight="1">
      <c r="H67" s="7"/>
      <c r="I67" s="5"/>
    </row>
    <row r="68" ht="15.75" customHeight="1">
      <c r="H68" s="7"/>
      <c r="I68" s="5"/>
    </row>
    <row r="69" ht="15.75" customHeight="1">
      <c r="H69" s="7"/>
      <c r="I69" s="5"/>
    </row>
    <row r="70" ht="15.75" customHeight="1">
      <c r="H70" s="7"/>
      <c r="I70" s="5"/>
    </row>
    <row r="71" ht="15.75" customHeight="1">
      <c r="H71" s="7"/>
      <c r="I71" s="5"/>
    </row>
    <row r="72" ht="15.75" customHeight="1">
      <c r="H72" s="7"/>
      <c r="I72" s="5"/>
    </row>
    <row r="73" ht="15.75" customHeight="1">
      <c r="H73" s="7"/>
      <c r="I73" s="5"/>
    </row>
    <row r="74" ht="15.75" customHeight="1">
      <c r="H74" s="7"/>
      <c r="I74" s="5"/>
    </row>
    <row r="75" ht="15.75" customHeight="1">
      <c r="H75" s="7"/>
      <c r="I75" s="5"/>
    </row>
    <row r="76" ht="15.75" customHeight="1">
      <c r="H76" s="7"/>
      <c r="I76" s="5"/>
    </row>
    <row r="77" ht="15.75" customHeight="1">
      <c r="H77" s="7"/>
      <c r="I77" s="5"/>
    </row>
    <row r="78" ht="15.75" customHeight="1">
      <c r="H78" s="7"/>
      <c r="I78" s="5"/>
    </row>
    <row r="79" ht="15.75" customHeight="1">
      <c r="H79" s="7"/>
      <c r="I79" s="5"/>
    </row>
    <row r="80" ht="15.75" customHeight="1">
      <c r="H80" s="7"/>
      <c r="I80" s="5"/>
    </row>
    <row r="81" ht="15.75" customHeight="1">
      <c r="H81" s="7"/>
      <c r="I81" s="5"/>
    </row>
    <row r="82" ht="15.75" customHeight="1">
      <c r="H82" s="7"/>
      <c r="I82" s="5"/>
    </row>
    <row r="83" ht="15.75" customHeight="1">
      <c r="H83" s="7"/>
      <c r="I83" s="5"/>
    </row>
    <row r="84" ht="15.75" customHeight="1">
      <c r="H84" s="7"/>
      <c r="I84" s="5"/>
    </row>
    <row r="85" ht="15.75" customHeight="1">
      <c r="H85" s="7"/>
      <c r="I85" s="5"/>
    </row>
    <row r="86" ht="15.75" customHeight="1">
      <c r="H86" s="7"/>
      <c r="I86" s="5"/>
    </row>
    <row r="87" ht="15.75" customHeight="1">
      <c r="H87" s="7"/>
      <c r="I87" s="5"/>
    </row>
    <row r="88" ht="15.75" customHeight="1">
      <c r="H88" s="7"/>
      <c r="I88" s="5"/>
    </row>
    <row r="89" ht="15.75" customHeight="1">
      <c r="H89" s="7"/>
      <c r="I89" s="5"/>
    </row>
    <row r="90" ht="15.75" customHeight="1">
      <c r="H90" s="7"/>
      <c r="I90" s="5"/>
    </row>
    <row r="91" ht="15.75" customHeight="1">
      <c r="H91" s="7"/>
      <c r="I91" s="5"/>
    </row>
    <row r="92" ht="15.75" customHeight="1">
      <c r="H92" s="7"/>
      <c r="I92" s="5"/>
    </row>
    <row r="93" ht="15.75" customHeight="1">
      <c r="H93" s="7"/>
      <c r="I93" s="5"/>
    </row>
    <row r="94" ht="15.75" customHeight="1">
      <c r="H94" s="7"/>
      <c r="I94" s="5"/>
    </row>
    <row r="95" ht="15.75" customHeight="1">
      <c r="H95" s="7"/>
      <c r="I95" s="5"/>
    </row>
    <row r="96" ht="15.75" customHeight="1">
      <c r="H96" s="7"/>
      <c r="I96" s="5"/>
    </row>
    <row r="97" ht="15.75" customHeight="1">
      <c r="H97" s="7"/>
      <c r="I97" s="5"/>
    </row>
    <row r="98" ht="15.75" customHeight="1">
      <c r="H98" s="7"/>
      <c r="I98" s="5"/>
    </row>
    <row r="99" ht="15.75" customHeight="1">
      <c r="H99" s="7"/>
      <c r="I99" s="5"/>
    </row>
    <row r="100" ht="15.75" customHeight="1">
      <c r="H100" s="7"/>
      <c r="I100" s="5"/>
    </row>
    <row r="101" ht="15.75" customHeight="1">
      <c r="H101" s="7"/>
      <c r="I101" s="5"/>
    </row>
    <row r="102" ht="15.75" customHeight="1">
      <c r="H102" s="7"/>
      <c r="I102" s="5"/>
    </row>
    <row r="103" ht="15.75" customHeight="1">
      <c r="H103" s="7"/>
      <c r="I103" s="5"/>
    </row>
    <row r="104" ht="15.75" customHeight="1">
      <c r="H104" s="7"/>
      <c r="I104" s="5"/>
    </row>
    <row r="105" ht="15.75" customHeight="1">
      <c r="H105" s="7"/>
      <c r="I105" s="5"/>
    </row>
    <row r="106" ht="15.75" customHeight="1">
      <c r="H106" s="7"/>
      <c r="I106" s="5"/>
    </row>
    <row r="107" ht="15.75" customHeight="1">
      <c r="H107" s="7"/>
      <c r="I107" s="5"/>
    </row>
    <row r="108" ht="15.75" customHeight="1">
      <c r="H108" s="7"/>
      <c r="I108" s="5"/>
    </row>
    <row r="109" ht="15.75" customHeight="1">
      <c r="H109" s="7"/>
      <c r="I109" s="5"/>
    </row>
    <row r="110" ht="15.75" customHeight="1">
      <c r="H110" s="7"/>
      <c r="I110" s="5"/>
    </row>
    <row r="111" ht="15.75" customHeight="1">
      <c r="H111" s="7"/>
      <c r="I111" s="5"/>
    </row>
    <row r="112" ht="15.75" customHeight="1">
      <c r="H112" s="7"/>
      <c r="I112" s="5"/>
    </row>
    <row r="113" ht="15.75" customHeight="1">
      <c r="H113" s="7"/>
      <c r="I113" s="5"/>
    </row>
    <row r="114" ht="15.75" customHeight="1">
      <c r="H114" s="7"/>
      <c r="I114" s="5"/>
    </row>
    <row r="115" ht="15.75" customHeight="1">
      <c r="H115" s="7"/>
      <c r="I115" s="5"/>
    </row>
    <row r="116" ht="15.75" customHeight="1">
      <c r="H116" s="7"/>
      <c r="I116" s="5"/>
    </row>
    <row r="117" ht="15.75" customHeight="1">
      <c r="H117" s="7"/>
      <c r="I117" s="5"/>
    </row>
    <row r="118" ht="15.75" customHeight="1">
      <c r="H118" s="7"/>
      <c r="I118" s="5"/>
    </row>
    <row r="119" ht="15.75" customHeight="1">
      <c r="H119" s="7"/>
      <c r="I119" s="5"/>
    </row>
    <row r="120" ht="15.75" customHeight="1">
      <c r="H120" s="7"/>
      <c r="I120" s="5"/>
    </row>
    <row r="121" ht="15.75" customHeight="1">
      <c r="H121" s="7"/>
      <c r="I121" s="5"/>
    </row>
    <row r="122" ht="15.75" customHeight="1">
      <c r="H122" s="7"/>
      <c r="I122" s="5"/>
    </row>
    <row r="123" ht="15.75" customHeight="1">
      <c r="H123" s="7"/>
      <c r="I123" s="5"/>
    </row>
    <row r="124" ht="15.75" customHeight="1">
      <c r="H124" s="7"/>
      <c r="I124" s="5"/>
    </row>
    <row r="125" ht="15.75" customHeight="1">
      <c r="H125" s="7"/>
      <c r="I125" s="5"/>
    </row>
    <row r="126" ht="15.75" customHeight="1">
      <c r="H126" s="7"/>
      <c r="I126" s="5"/>
    </row>
    <row r="127" ht="15.75" customHeight="1">
      <c r="H127" s="7"/>
      <c r="I127" s="5"/>
    </row>
    <row r="128" ht="15.75" customHeight="1">
      <c r="H128" s="7"/>
      <c r="I128" s="5"/>
    </row>
    <row r="129" ht="15.75" customHeight="1">
      <c r="H129" s="7"/>
      <c r="I129" s="5"/>
    </row>
    <row r="130" ht="15.75" customHeight="1">
      <c r="H130" s="7"/>
      <c r="I130" s="5"/>
    </row>
    <row r="131" ht="15.75" customHeight="1">
      <c r="H131" s="7"/>
      <c r="I131" s="5"/>
    </row>
    <row r="132" ht="15.75" customHeight="1">
      <c r="H132" s="7"/>
      <c r="I132" s="5"/>
    </row>
    <row r="133" ht="15.75" customHeight="1">
      <c r="H133" s="7"/>
      <c r="I133" s="5"/>
    </row>
    <row r="134" ht="15.75" customHeight="1">
      <c r="H134" s="7"/>
      <c r="I134" s="5"/>
    </row>
    <row r="135" ht="15.75" customHeight="1">
      <c r="H135" s="7"/>
      <c r="I135" s="5"/>
    </row>
    <row r="136" ht="15.75" customHeight="1">
      <c r="H136" s="7"/>
      <c r="I136" s="5"/>
    </row>
    <row r="137" ht="15.75" customHeight="1">
      <c r="H137" s="7"/>
      <c r="I137" s="5"/>
    </row>
    <row r="138" ht="15.75" customHeight="1">
      <c r="H138" s="7"/>
      <c r="I138" s="5"/>
    </row>
    <row r="139" ht="15.75" customHeight="1">
      <c r="H139" s="7"/>
      <c r="I139" s="5"/>
    </row>
    <row r="140" ht="15.75" customHeight="1">
      <c r="H140" s="7"/>
      <c r="I140" s="5"/>
    </row>
    <row r="141" ht="15.75" customHeight="1">
      <c r="H141" s="7"/>
      <c r="I141" s="5"/>
    </row>
    <row r="142" ht="15.75" customHeight="1">
      <c r="H142" s="7"/>
      <c r="I142" s="5"/>
    </row>
    <row r="143" ht="15.75" customHeight="1">
      <c r="H143" s="7"/>
      <c r="I143" s="5"/>
    </row>
    <row r="144" ht="15.75" customHeight="1">
      <c r="H144" s="7"/>
      <c r="I144" s="5"/>
    </row>
    <row r="145" ht="15.75" customHeight="1">
      <c r="H145" s="7"/>
      <c r="I145" s="5"/>
    </row>
    <row r="146" ht="15.75" customHeight="1">
      <c r="H146" s="7"/>
      <c r="I146" s="5"/>
    </row>
    <row r="147" ht="15.75" customHeight="1">
      <c r="H147" s="7"/>
      <c r="I147" s="5"/>
    </row>
    <row r="148" ht="15.75" customHeight="1">
      <c r="H148" s="7"/>
      <c r="I148" s="5"/>
    </row>
    <row r="149" ht="15.75" customHeight="1">
      <c r="H149" s="7"/>
      <c r="I149" s="5"/>
    </row>
    <row r="150" ht="15.75" customHeight="1">
      <c r="H150" s="7"/>
      <c r="I150" s="5"/>
    </row>
    <row r="151" ht="15.75" customHeight="1">
      <c r="H151" s="7"/>
      <c r="I151" s="5"/>
    </row>
    <row r="152" ht="15.75" customHeight="1">
      <c r="H152" s="7"/>
      <c r="I152" s="5"/>
    </row>
    <row r="153" ht="15.75" customHeight="1">
      <c r="H153" s="7"/>
      <c r="I153" s="5"/>
    </row>
    <row r="154" ht="15.75" customHeight="1">
      <c r="H154" s="7"/>
      <c r="I154" s="5"/>
    </row>
    <row r="155" ht="15.75" customHeight="1">
      <c r="H155" s="7"/>
      <c r="I155" s="5"/>
    </row>
    <row r="156" ht="15.75" customHeight="1">
      <c r="H156" s="7"/>
      <c r="I156" s="5"/>
    </row>
    <row r="157" ht="15.75" customHeight="1">
      <c r="H157" s="7"/>
      <c r="I157" s="5"/>
    </row>
    <row r="158" ht="15.75" customHeight="1">
      <c r="H158" s="7"/>
      <c r="I158" s="5"/>
    </row>
    <row r="159" ht="15.75" customHeight="1">
      <c r="H159" s="7"/>
      <c r="I159" s="5"/>
    </row>
    <row r="160" ht="15.75" customHeight="1">
      <c r="H160" s="7"/>
      <c r="I160" s="5"/>
    </row>
    <row r="161" ht="15.75" customHeight="1">
      <c r="H161" s="7"/>
      <c r="I161" s="5"/>
    </row>
    <row r="162" ht="15.75" customHeight="1">
      <c r="H162" s="7"/>
      <c r="I162" s="5"/>
    </row>
    <row r="163" ht="15.75" customHeight="1">
      <c r="H163" s="7"/>
      <c r="I163" s="5"/>
    </row>
    <row r="164" ht="15.75" customHeight="1">
      <c r="H164" s="7"/>
      <c r="I164" s="5"/>
    </row>
    <row r="165" ht="15.75" customHeight="1">
      <c r="H165" s="7"/>
      <c r="I165" s="5"/>
    </row>
    <row r="166" ht="15.75" customHeight="1">
      <c r="H166" s="7"/>
      <c r="I166" s="5"/>
    </row>
    <row r="167" ht="15.75" customHeight="1">
      <c r="H167" s="7"/>
      <c r="I167" s="5"/>
    </row>
    <row r="168" ht="15.75" customHeight="1">
      <c r="H168" s="7"/>
      <c r="I168" s="5"/>
    </row>
    <row r="169" ht="15.75" customHeight="1">
      <c r="H169" s="7"/>
      <c r="I169" s="5"/>
    </row>
    <row r="170" ht="15.75" customHeight="1">
      <c r="H170" s="7"/>
      <c r="I170" s="5"/>
    </row>
    <row r="171" ht="15.75" customHeight="1">
      <c r="H171" s="7"/>
      <c r="I171" s="5"/>
    </row>
    <row r="172" ht="15.75" customHeight="1">
      <c r="H172" s="7"/>
      <c r="I172" s="5"/>
    </row>
    <row r="173" ht="15.75" customHeight="1">
      <c r="H173" s="7"/>
      <c r="I173" s="5"/>
    </row>
    <row r="174" ht="15.75" customHeight="1">
      <c r="H174" s="7"/>
      <c r="I174" s="5"/>
    </row>
    <row r="175" ht="15.75" customHeight="1">
      <c r="H175" s="7"/>
      <c r="I175" s="5"/>
    </row>
    <row r="176" ht="15.75" customHeight="1">
      <c r="H176" s="7"/>
      <c r="I176" s="5"/>
    </row>
    <row r="177" ht="15.75" customHeight="1">
      <c r="H177" s="7"/>
      <c r="I177" s="5"/>
    </row>
    <row r="178" ht="15.75" customHeight="1">
      <c r="H178" s="7"/>
      <c r="I178" s="5"/>
    </row>
    <row r="179" ht="15.75" customHeight="1">
      <c r="H179" s="7"/>
      <c r="I179" s="5"/>
    </row>
    <row r="180" ht="15.75" customHeight="1">
      <c r="H180" s="7"/>
      <c r="I180" s="5"/>
    </row>
    <row r="181" ht="15.75" customHeight="1">
      <c r="H181" s="7"/>
      <c r="I181" s="5"/>
    </row>
    <row r="182" ht="15.75" customHeight="1">
      <c r="H182" s="7"/>
      <c r="I182" s="5"/>
    </row>
    <row r="183" ht="15.75" customHeight="1">
      <c r="H183" s="7"/>
      <c r="I183" s="5"/>
    </row>
    <row r="184" ht="15.75" customHeight="1">
      <c r="H184" s="7"/>
      <c r="I184" s="5"/>
    </row>
    <row r="185" ht="15.75" customHeight="1">
      <c r="H185" s="7"/>
      <c r="I185" s="5"/>
    </row>
    <row r="186" ht="15.75" customHeight="1">
      <c r="H186" s="7"/>
      <c r="I186" s="5"/>
    </row>
    <row r="187" ht="15.75" customHeight="1">
      <c r="H187" s="7"/>
      <c r="I187" s="5"/>
    </row>
    <row r="188" ht="15.75" customHeight="1">
      <c r="H188" s="7"/>
      <c r="I188" s="5"/>
    </row>
    <row r="189" ht="15.75" customHeight="1">
      <c r="H189" s="7"/>
      <c r="I189" s="5"/>
    </row>
    <row r="190" ht="15.75" customHeight="1">
      <c r="H190" s="7"/>
      <c r="I190" s="5"/>
    </row>
    <row r="191" ht="15.75" customHeight="1">
      <c r="H191" s="7"/>
      <c r="I191" s="5"/>
    </row>
    <row r="192" ht="15.75" customHeight="1">
      <c r="H192" s="7"/>
      <c r="I192" s="5"/>
    </row>
    <row r="193" ht="15.75" customHeight="1">
      <c r="H193" s="7"/>
      <c r="I193" s="5"/>
    </row>
    <row r="194" ht="15.75" customHeight="1">
      <c r="H194" s="7"/>
      <c r="I194" s="5"/>
    </row>
    <row r="195" ht="15.75" customHeight="1">
      <c r="H195" s="7"/>
      <c r="I195" s="5"/>
    </row>
    <row r="196" ht="15.75" customHeight="1">
      <c r="H196" s="7"/>
      <c r="I196" s="5"/>
    </row>
    <row r="197" ht="15.75" customHeight="1">
      <c r="H197" s="7"/>
      <c r="I197" s="5"/>
    </row>
    <row r="198" ht="15.75" customHeight="1">
      <c r="H198" s="7"/>
      <c r="I198" s="5"/>
    </row>
    <row r="199" ht="15.75" customHeight="1">
      <c r="H199" s="7"/>
      <c r="I199" s="5"/>
    </row>
    <row r="200" ht="15.75" customHeight="1">
      <c r="H200" s="7"/>
      <c r="I200" s="5"/>
    </row>
    <row r="201" ht="15.75" customHeight="1">
      <c r="H201" s="7"/>
      <c r="I201" s="5"/>
    </row>
    <row r="202" ht="15.75" customHeight="1">
      <c r="H202" s="7"/>
      <c r="I202" s="5"/>
    </row>
    <row r="203" ht="15.75" customHeight="1">
      <c r="H203" s="7"/>
      <c r="I203" s="5"/>
    </row>
    <row r="204" ht="15.75" customHeight="1">
      <c r="H204" s="7"/>
      <c r="I204" s="5"/>
    </row>
    <row r="205" ht="15.75" customHeight="1">
      <c r="H205" s="7"/>
      <c r="I205" s="5"/>
    </row>
    <row r="206" ht="15.75" customHeight="1">
      <c r="H206" s="7"/>
      <c r="I206" s="5"/>
    </row>
    <row r="207" ht="15.75" customHeight="1">
      <c r="H207" s="7"/>
      <c r="I207" s="5"/>
    </row>
    <row r="208" ht="15.75" customHeight="1">
      <c r="H208" s="7"/>
      <c r="I208" s="5"/>
    </row>
    <row r="209" ht="15.75" customHeight="1">
      <c r="H209" s="7"/>
      <c r="I209" s="5"/>
    </row>
    <row r="210" ht="15.75" customHeight="1">
      <c r="H210" s="7"/>
      <c r="I210" s="5"/>
    </row>
    <row r="211" ht="15.75" customHeight="1">
      <c r="H211" s="7"/>
      <c r="I211" s="5"/>
    </row>
    <row r="212" ht="15.75" customHeight="1">
      <c r="H212" s="7"/>
      <c r="I212" s="5"/>
    </row>
    <row r="213" ht="15.75" customHeight="1">
      <c r="H213" s="7"/>
      <c r="I213" s="5"/>
    </row>
    <row r="214" ht="15.75" customHeight="1">
      <c r="H214" s="7"/>
      <c r="I214" s="5"/>
    </row>
    <row r="215" ht="15.75" customHeight="1">
      <c r="H215" s="7"/>
      <c r="I215" s="5"/>
    </row>
    <row r="216" ht="15.75" customHeight="1">
      <c r="H216" s="7"/>
      <c r="I216" s="5"/>
    </row>
    <row r="217" ht="15.75" customHeight="1">
      <c r="H217" s="7"/>
      <c r="I217" s="5"/>
    </row>
    <row r="218" ht="15.75" customHeight="1">
      <c r="H218" s="7"/>
      <c r="I218" s="5"/>
    </row>
    <row r="219" ht="15.75" customHeight="1">
      <c r="H219" s="7"/>
      <c r="I219" s="5"/>
    </row>
    <row r="220" ht="15.75" customHeight="1">
      <c r="H220" s="7"/>
      <c r="I220" s="5"/>
    </row>
    <row r="221" ht="15.75" customHeight="1">
      <c r="H221" s="7"/>
      <c r="I221" s="5"/>
    </row>
    <row r="222" ht="15.75" customHeight="1">
      <c r="H222" s="7"/>
      <c r="I222" s="5"/>
    </row>
    <row r="223" ht="15.75" customHeight="1">
      <c r="H223" s="7"/>
      <c r="I223" s="5"/>
    </row>
    <row r="224" ht="15.75" customHeight="1">
      <c r="H224" s="7"/>
      <c r="I224" s="5"/>
    </row>
    <row r="225" ht="15.75" customHeight="1">
      <c r="H225" s="7"/>
      <c r="I225" s="5"/>
    </row>
    <row r="226" ht="15.75" customHeight="1">
      <c r="H226" s="7"/>
      <c r="I226" s="5"/>
    </row>
    <row r="227" ht="15.75" customHeight="1">
      <c r="H227" s="7"/>
      <c r="I227" s="5"/>
    </row>
    <row r="228" ht="15.75" customHeight="1">
      <c r="H228" s="7"/>
      <c r="I228" s="5"/>
    </row>
    <row r="229" ht="15.75" customHeight="1">
      <c r="H229" s="7"/>
      <c r="I229" s="5"/>
    </row>
    <row r="230" ht="15.75" customHeight="1">
      <c r="H230" s="7"/>
      <c r="I230" s="5"/>
    </row>
    <row r="231" ht="15.75" customHeight="1">
      <c r="H231" s="7"/>
      <c r="I231" s="5"/>
    </row>
    <row r="232" ht="15.75" customHeight="1">
      <c r="H232" s="7"/>
      <c r="I232" s="5"/>
    </row>
    <row r="233" ht="15.75" customHeight="1">
      <c r="H233" s="7"/>
      <c r="I233" s="5"/>
    </row>
    <row r="234" ht="15.75" customHeight="1">
      <c r="H234" s="7"/>
      <c r="I234" s="5"/>
    </row>
    <row r="235" ht="15.75" customHeight="1">
      <c r="H235" s="7"/>
      <c r="I235" s="5"/>
    </row>
    <row r="236" ht="15.75" customHeight="1">
      <c r="H236" s="7"/>
      <c r="I236" s="5"/>
    </row>
    <row r="237" ht="15.75" customHeight="1">
      <c r="H237" s="7"/>
      <c r="I237" s="5"/>
    </row>
    <row r="238" ht="15.75" customHeight="1">
      <c r="H238" s="7"/>
      <c r="I238" s="5"/>
    </row>
    <row r="239" ht="15.75" customHeight="1">
      <c r="H239" s="7"/>
      <c r="I239" s="5"/>
    </row>
    <row r="240" ht="15.75" customHeight="1">
      <c r="H240" s="7"/>
      <c r="I240" s="5"/>
    </row>
    <row r="241" ht="15.75" customHeight="1">
      <c r="H241" s="7"/>
      <c r="I241" s="5"/>
    </row>
    <row r="242" ht="15.75" customHeight="1">
      <c r="H242" s="7"/>
      <c r="I242" s="5"/>
    </row>
    <row r="243" ht="15.75" customHeight="1">
      <c r="H243" s="7"/>
      <c r="I243" s="5"/>
    </row>
    <row r="244" ht="15.75" customHeight="1">
      <c r="H244" s="7"/>
      <c r="I244" s="5"/>
    </row>
    <row r="245" ht="15.75" customHeight="1">
      <c r="H245" s="7"/>
      <c r="I245" s="5"/>
    </row>
    <row r="246" ht="15.75" customHeight="1">
      <c r="H246" s="7"/>
      <c r="I246" s="5"/>
    </row>
    <row r="247" ht="15.75" customHeight="1">
      <c r="H247" s="7"/>
      <c r="I247" s="5"/>
    </row>
    <row r="248" ht="15.75" customHeight="1">
      <c r="H248" s="7"/>
      <c r="I248" s="5"/>
    </row>
    <row r="249" ht="15.75" customHeight="1">
      <c r="H249" s="7"/>
      <c r="I249" s="5"/>
    </row>
    <row r="250" ht="15.75" customHeight="1">
      <c r="H250" s="7"/>
      <c r="I250" s="5"/>
    </row>
    <row r="251" ht="15.75" customHeight="1">
      <c r="H251" s="7"/>
      <c r="I251" s="5"/>
    </row>
    <row r="252" ht="15.75" customHeight="1">
      <c r="H252" s="7"/>
      <c r="I252" s="5"/>
    </row>
    <row r="253" ht="15.75" customHeight="1">
      <c r="H253" s="7"/>
      <c r="I253" s="5"/>
    </row>
    <row r="254" ht="15.75" customHeight="1">
      <c r="H254" s="7"/>
      <c r="I254" s="5"/>
    </row>
    <row r="255" ht="15.75" customHeight="1">
      <c r="H255" s="7"/>
      <c r="I255" s="5"/>
    </row>
    <row r="256" ht="15.75" customHeight="1">
      <c r="H256" s="7"/>
      <c r="I256" s="5"/>
    </row>
    <row r="257" ht="15.75" customHeight="1">
      <c r="H257" s="7"/>
      <c r="I257" s="5"/>
    </row>
    <row r="258" ht="15.75" customHeight="1">
      <c r="H258" s="7"/>
      <c r="I258" s="5"/>
    </row>
    <row r="259" ht="15.75" customHeight="1">
      <c r="H259" s="7"/>
      <c r="I259" s="5"/>
    </row>
    <row r="260" ht="15.75" customHeight="1">
      <c r="H260" s="7"/>
      <c r="I260" s="5"/>
    </row>
    <row r="261" ht="15.75" customHeight="1">
      <c r="H261" s="7"/>
      <c r="I261" s="5"/>
    </row>
    <row r="262" ht="15.75" customHeight="1">
      <c r="H262" s="7"/>
      <c r="I262" s="5"/>
    </row>
    <row r="263" ht="15.75" customHeight="1">
      <c r="H263" s="7"/>
      <c r="I263" s="5"/>
    </row>
    <row r="264" ht="15.75" customHeight="1">
      <c r="H264" s="7"/>
      <c r="I264" s="5"/>
    </row>
    <row r="265" ht="15.75" customHeight="1">
      <c r="H265" s="7"/>
      <c r="I265" s="5"/>
    </row>
    <row r="266" ht="15.75" customHeight="1">
      <c r="H266" s="7"/>
      <c r="I266" s="5"/>
    </row>
    <row r="267" ht="15.75" customHeight="1">
      <c r="H267" s="7"/>
      <c r="I267" s="5"/>
    </row>
    <row r="268" ht="15.75" customHeight="1">
      <c r="H268" s="7"/>
      <c r="I268" s="5"/>
    </row>
    <row r="269" ht="15.75" customHeight="1">
      <c r="H269" s="7"/>
      <c r="I269" s="5"/>
    </row>
    <row r="270" ht="15.75" customHeight="1">
      <c r="H270" s="7"/>
      <c r="I270" s="5"/>
    </row>
    <row r="271" ht="15.75" customHeight="1">
      <c r="H271" s="7"/>
      <c r="I271" s="5"/>
    </row>
    <row r="272" ht="15.75" customHeight="1">
      <c r="H272" s="7"/>
      <c r="I272" s="5"/>
    </row>
    <row r="273" ht="15.75" customHeight="1">
      <c r="H273" s="7"/>
      <c r="I273" s="5"/>
    </row>
    <row r="274" ht="15.75" customHeight="1">
      <c r="H274" s="7"/>
      <c r="I274" s="5"/>
    </row>
    <row r="275" ht="15.75" customHeight="1">
      <c r="H275" s="7"/>
      <c r="I275" s="5"/>
    </row>
    <row r="276" ht="15.75" customHeight="1">
      <c r="H276" s="7"/>
      <c r="I276" s="5"/>
    </row>
    <row r="277" ht="15.75" customHeight="1">
      <c r="H277" s="7"/>
      <c r="I277" s="5"/>
    </row>
    <row r="278" ht="15.75" customHeight="1">
      <c r="H278" s="7"/>
      <c r="I278" s="5"/>
    </row>
    <row r="279" ht="15.75" customHeight="1">
      <c r="H279" s="7"/>
      <c r="I279" s="5"/>
    </row>
    <row r="280" ht="15.75" customHeight="1">
      <c r="H280" s="7"/>
      <c r="I280" s="5"/>
    </row>
    <row r="281" ht="15.75" customHeight="1">
      <c r="H281" s="7"/>
      <c r="I281" s="5"/>
    </row>
    <row r="282" ht="15.75" customHeight="1">
      <c r="H282" s="7"/>
      <c r="I282" s="5"/>
    </row>
    <row r="283" ht="15.75" customHeight="1">
      <c r="H283" s="7"/>
      <c r="I283" s="5"/>
    </row>
    <row r="284" ht="15.75" customHeight="1">
      <c r="H284" s="7"/>
      <c r="I284" s="5"/>
    </row>
    <row r="285" ht="15.75" customHeight="1">
      <c r="H285" s="7"/>
      <c r="I285" s="5"/>
    </row>
    <row r="286" ht="15.75" customHeight="1">
      <c r="H286" s="7"/>
      <c r="I286" s="5"/>
    </row>
    <row r="287" ht="15.75" customHeight="1">
      <c r="H287" s="7"/>
      <c r="I287" s="5"/>
    </row>
    <row r="288" ht="15.75" customHeight="1">
      <c r="H288" s="7"/>
      <c r="I288" s="5"/>
    </row>
    <row r="289" ht="15.75" customHeight="1">
      <c r="H289" s="7"/>
      <c r="I289" s="5"/>
    </row>
    <row r="290" ht="15.75" customHeight="1">
      <c r="H290" s="7"/>
      <c r="I290" s="5"/>
    </row>
    <row r="291" ht="15.75" customHeight="1">
      <c r="H291" s="7"/>
      <c r="I291" s="5"/>
    </row>
    <row r="292" ht="15.75" customHeight="1">
      <c r="H292" s="7"/>
      <c r="I292" s="5"/>
    </row>
    <row r="293" ht="15.75" customHeight="1">
      <c r="H293" s="7"/>
      <c r="I293" s="5"/>
    </row>
    <row r="294" ht="15.75" customHeight="1">
      <c r="H294" s="7"/>
      <c r="I294" s="5"/>
    </row>
    <row r="295" ht="15.75" customHeight="1">
      <c r="H295" s="7"/>
      <c r="I295" s="5"/>
    </row>
    <row r="296" ht="15.75" customHeight="1">
      <c r="H296" s="7"/>
      <c r="I296" s="5"/>
    </row>
    <row r="297" ht="15.75" customHeight="1">
      <c r="H297" s="7"/>
      <c r="I297" s="5"/>
    </row>
    <row r="298" ht="15.75" customHeight="1">
      <c r="H298" s="7"/>
      <c r="I298" s="5"/>
    </row>
    <row r="299" ht="15.75" customHeight="1">
      <c r="H299" s="7"/>
      <c r="I299" s="5"/>
    </row>
    <row r="300" ht="15.75" customHeight="1">
      <c r="H300" s="7"/>
      <c r="I300" s="5"/>
    </row>
    <row r="301" ht="15.75" customHeight="1">
      <c r="H301" s="7"/>
      <c r="I301" s="5"/>
    </row>
    <row r="302" ht="15.75" customHeight="1">
      <c r="H302" s="7"/>
      <c r="I302" s="5"/>
    </row>
    <row r="303" ht="15.75" customHeight="1">
      <c r="H303" s="7"/>
      <c r="I303" s="5"/>
    </row>
    <row r="304" ht="15.75" customHeight="1">
      <c r="H304" s="7"/>
      <c r="I304" s="5"/>
    </row>
    <row r="305" ht="15.75" customHeight="1">
      <c r="H305" s="7"/>
      <c r="I305" s="5"/>
    </row>
    <row r="306" ht="15.75" customHeight="1">
      <c r="H306" s="7"/>
      <c r="I306" s="5"/>
    </row>
    <row r="307" ht="15.75" customHeight="1">
      <c r="H307" s="7"/>
      <c r="I307" s="5"/>
    </row>
    <row r="308" ht="15.75" customHeight="1">
      <c r="H308" s="7"/>
      <c r="I308" s="5"/>
    </row>
    <row r="309" ht="15.75" customHeight="1">
      <c r="H309" s="7"/>
      <c r="I309" s="5"/>
    </row>
    <row r="310" ht="15.75" customHeight="1">
      <c r="H310" s="7"/>
      <c r="I310" s="5"/>
    </row>
    <row r="311" ht="15.75" customHeight="1">
      <c r="H311" s="7"/>
      <c r="I311" s="5"/>
    </row>
    <row r="312" ht="15.75" customHeight="1">
      <c r="H312" s="7"/>
      <c r="I312" s="5"/>
    </row>
    <row r="313" ht="15.75" customHeight="1">
      <c r="H313" s="7"/>
      <c r="I313" s="5"/>
    </row>
    <row r="314" ht="15.75" customHeight="1">
      <c r="H314" s="7"/>
      <c r="I314" s="5"/>
    </row>
    <row r="315" ht="15.75" customHeight="1">
      <c r="H315" s="7"/>
      <c r="I315" s="5"/>
    </row>
    <row r="316" ht="15.75" customHeight="1">
      <c r="H316" s="7"/>
      <c r="I316" s="5"/>
    </row>
    <row r="317" ht="15.75" customHeight="1">
      <c r="H317" s="7"/>
      <c r="I317" s="5"/>
    </row>
    <row r="318" ht="15.75" customHeight="1">
      <c r="H318" s="7"/>
      <c r="I318" s="5"/>
    </row>
    <row r="319" ht="15.75" customHeight="1">
      <c r="H319" s="7"/>
      <c r="I319" s="5"/>
    </row>
    <row r="320" ht="15.75" customHeight="1">
      <c r="H320" s="7"/>
      <c r="I320" s="5"/>
    </row>
    <row r="321" ht="15.75" customHeight="1">
      <c r="H321" s="7"/>
      <c r="I321" s="5"/>
    </row>
    <row r="322" ht="15.75" customHeight="1">
      <c r="H322" s="7"/>
      <c r="I322" s="5"/>
    </row>
    <row r="323" ht="15.75" customHeight="1">
      <c r="H323" s="7"/>
      <c r="I323" s="5"/>
    </row>
    <row r="324" ht="15.75" customHeight="1">
      <c r="H324" s="7"/>
      <c r="I324" s="5"/>
    </row>
    <row r="325" ht="15.75" customHeight="1">
      <c r="H325" s="7"/>
      <c r="I325" s="5"/>
    </row>
    <row r="326" ht="15.75" customHeight="1">
      <c r="H326" s="7"/>
      <c r="I326" s="5"/>
    </row>
    <row r="327" ht="15.75" customHeight="1">
      <c r="H327" s="7"/>
      <c r="I327" s="5"/>
    </row>
    <row r="328" ht="15.75" customHeight="1">
      <c r="H328" s="7"/>
      <c r="I328" s="5"/>
    </row>
    <row r="329" ht="15.75" customHeight="1">
      <c r="H329" s="7"/>
      <c r="I329" s="5"/>
    </row>
    <row r="330" ht="15.75" customHeight="1">
      <c r="H330" s="7"/>
      <c r="I330" s="5"/>
    </row>
    <row r="331" ht="15.75" customHeight="1">
      <c r="H331" s="7"/>
      <c r="I331" s="5"/>
    </row>
    <row r="332" ht="15.75" customHeight="1">
      <c r="H332" s="7"/>
      <c r="I332" s="5"/>
    </row>
    <row r="333" ht="15.75" customHeight="1">
      <c r="H333" s="7"/>
      <c r="I333" s="5"/>
    </row>
    <row r="334" ht="15.75" customHeight="1">
      <c r="H334" s="7"/>
      <c r="I334" s="5"/>
    </row>
    <row r="335" ht="15.75" customHeight="1">
      <c r="H335" s="7"/>
      <c r="I335" s="5"/>
    </row>
    <row r="336" ht="15.75" customHeight="1">
      <c r="H336" s="7"/>
      <c r="I336" s="5"/>
    </row>
    <row r="337" ht="15.75" customHeight="1">
      <c r="H337" s="7"/>
      <c r="I337" s="5"/>
    </row>
    <row r="338" ht="15.75" customHeight="1">
      <c r="H338" s="7"/>
      <c r="I338" s="5"/>
    </row>
    <row r="339" ht="15.75" customHeight="1">
      <c r="H339" s="7"/>
      <c r="I339" s="5"/>
    </row>
    <row r="340" ht="15.75" customHeight="1">
      <c r="H340" s="7"/>
      <c r="I340" s="5"/>
    </row>
    <row r="341" ht="15.75" customHeight="1">
      <c r="H341" s="7"/>
      <c r="I341" s="5"/>
    </row>
    <row r="342" ht="15.75" customHeight="1">
      <c r="H342" s="7"/>
      <c r="I342" s="5"/>
    </row>
    <row r="343" ht="15.75" customHeight="1">
      <c r="H343" s="7"/>
      <c r="I343" s="5"/>
    </row>
    <row r="344" ht="15.75" customHeight="1">
      <c r="H344" s="7"/>
      <c r="I344" s="5"/>
    </row>
    <row r="345" ht="15.75" customHeight="1">
      <c r="H345" s="7"/>
      <c r="I345" s="5"/>
    </row>
    <row r="346" ht="15.75" customHeight="1">
      <c r="H346" s="7"/>
      <c r="I346" s="5"/>
    </row>
    <row r="347" ht="15.75" customHeight="1">
      <c r="H347" s="7"/>
      <c r="I347" s="5"/>
    </row>
    <row r="348" ht="15.75" customHeight="1">
      <c r="H348" s="7"/>
      <c r="I348" s="5"/>
    </row>
    <row r="349" ht="15.75" customHeight="1">
      <c r="H349" s="7"/>
      <c r="I349" s="5"/>
    </row>
    <row r="350" ht="15.75" customHeight="1">
      <c r="H350" s="7"/>
      <c r="I350" s="5"/>
    </row>
    <row r="351" ht="15.75" customHeight="1">
      <c r="H351" s="7"/>
      <c r="I351" s="5"/>
    </row>
    <row r="352" ht="15.75" customHeight="1">
      <c r="H352" s="7"/>
      <c r="I352" s="5"/>
    </row>
    <row r="353" ht="15.75" customHeight="1">
      <c r="H353" s="7"/>
      <c r="I353" s="5"/>
    </row>
    <row r="354" ht="15.75" customHeight="1">
      <c r="H354" s="7"/>
      <c r="I354" s="5"/>
    </row>
    <row r="355" ht="15.75" customHeight="1">
      <c r="H355" s="7"/>
      <c r="I355" s="5"/>
    </row>
    <row r="356" ht="15.75" customHeight="1">
      <c r="H356" s="7"/>
      <c r="I356" s="5"/>
    </row>
    <row r="357" ht="15.75" customHeight="1">
      <c r="H357" s="7"/>
      <c r="I357" s="5"/>
    </row>
    <row r="358" ht="15.75" customHeight="1">
      <c r="H358" s="7"/>
      <c r="I358" s="5"/>
    </row>
    <row r="359" ht="15.75" customHeight="1">
      <c r="H359" s="7"/>
      <c r="I359" s="5"/>
    </row>
    <row r="360" ht="15.75" customHeight="1">
      <c r="H360" s="7"/>
      <c r="I360" s="5"/>
    </row>
    <row r="361" ht="15.75" customHeight="1">
      <c r="H361" s="7"/>
      <c r="I361" s="5"/>
    </row>
    <row r="362" ht="15.75" customHeight="1">
      <c r="H362" s="7"/>
      <c r="I362" s="5"/>
    </row>
    <row r="363" ht="15.75" customHeight="1">
      <c r="H363" s="7"/>
      <c r="I363" s="5"/>
    </row>
    <row r="364" ht="15.75" customHeight="1">
      <c r="H364" s="7"/>
      <c r="I364" s="5"/>
    </row>
    <row r="365" ht="15.75" customHeight="1">
      <c r="H365" s="7"/>
      <c r="I365" s="5"/>
    </row>
    <row r="366" ht="15.75" customHeight="1">
      <c r="H366" s="7"/>
      <c r="I366" s="5"/>
    </row>
    <row r="367" ht="15.75" customHeight="1">
      <c r="H367" s="7"/>
      <c r="I367" s="5"/>
    </row>
    <row r="368" ht="15.75" customHeight="1">
      <c r="H368" s="7"/>
      <c r="I368" s="5"/>
    </row>
    <row r="369" ht="15.75" customHeight="1">
      <c r="H369" s="7"/>
      <c r="I369" s="5"/>
    </row>
    <row r="370" ht="15.75" customHeight="1">
      <c r="H370" s="7"/>
      <c r="I370" s="5"/>
    </row>
    <row r="371" ht="15.75" customHeight="1">
      <c r="H371" s="7"/>
      <c r="I371" s="5"/>
    </row>
    <row r="372" ht="15.75" customHeight="1">
      <c r="H372" s="7"/>
      <c r="I372" s="5"/>
    </row>
    <row r="373" ht="15.75" customHeight="1">
      <c r="H373" s="7"/>
      <c r="I373" s="5"/>
    </row>
    <row r="374" ht="15.75" customHeight="1">
      <c r="H374" s="7"/>
      <c r="I374" s="5"/>
    </row>
    <row r="375" ht="15.75" customHeight="1">
      <c r="H375" s="7"/>
      <c r="I375" s="5"/>
    </row>
    <row r="376" ht="15.75" customHeight="1">
      <c r="H376" s="7"/>
      <c r="I376" s="5"/>
    </row>
    <row r="377" ht="15.75" customHeight="1">
      <c r="H377" s="7"/>
      <c r="I377" s="5"/>
    </row>
    <row r="378" ht="15.75" customHeight="1">
      <c r="H378" s="7"/>
      <c r="I378" s="5"/>
    </row>
    <row r="379" ht="15.75" customHeight="1">
      <c r="H379" s="7"/>
      <c r="I379" s="5"/>
    </row>
    <row r="380" ht="15.75" customHeight="1">
      <c r="H380" s="7"/>
      <c r="I380" s="5"/>
    </row>
    <row r="381" ht="15.75" customHeight="1">
      <c r="H381" s="7"/>
      <c r="I381" s="5"/>
    </row>
    <row r="382" ht="15.75" customHeight="1">
      <c r="H382" s="7"/>
      <c r="I382" s="5"/>
    </row>
    <row r="383" ht="15.75" customHeight="1">
      <c r="H383" s="7"/>
      <c r="I383" s="5"/>
    </row>
    <row r="384" ht="15.75" customHeight="1">
      <c r="H384" s="7"/>
      <c r="I384" s="5"/>
    </row>
    <row r="385" ht="15.75" customHeight="1">
      <c r="H385" s="7"/>
      <c r="I385" s="5"/>
    </row>
    <row r="386" ht="15.75" customHeight="1">
      <c r="H386" s="7"/>
      <c r="I386" s="5"/>
    </row>
    <row r="387" ht="15.75" customHeight="1">
      <c r="H387" s="7"/>
      <c r="I387" s="5"/>
    </row>
    <row r="388" ht="15.75" customHeight="1">
      <c r="H388" s="7"/>
      <c r="I388" s="5"/>
    </row>
    <row r="389" ht="15.75" customHeight="1">
      <c r="H389" s="7"/>
      <c r="I389" s="5"/>
    </row>
    <row r="390" ht="15.75" customHeight="1">
      <c r="H390" s="7"/>
      <c r="I390" s="5"/>
    </row>
    <row r="391" ht="15.75" customHeight="1">
      <c r="H391" s="7"/>
      <c r="I391" s="5"/>
    </row>
    <row r="392" ht="15.75" customHeight="1">
      <c r="H392" s="7"/>
      <c r="I392" s="5"/>
    </row>
    <row r="393" ht="15.75" customHeight="1">
      <c r="H393" s="7"/>
      <c r="I393" s="5"/>
    </row>
    <row r="394" ht="15.75" customHeight="1">
      <c r="H394" s="7"/>
      <c r="I394" s="5"/>
    </row>
    <row r="395" ht="15.75" customHeight="1">
      <c r="H395" s="7"/>
      <c r="I395" s="5"/>
    </row>
    <row r="396" ht="15.75" customHeight="1">
      <c r="H396" s="7"/>
      <c r="I396" s="5"/>
    </row>
    <row r="397" ht="15.75" customHeight="1">
      <c r="H397" s="7"/>
      <c r="I397" s="5"/>
    </row>
    <row r="398" ht="15.75" customHeight="1">
      <c r="H398" s="7"/>
      <c r="I398" s="5"/>
    </row>
    <row r="399" ht="15.75" customHeight="1">
      <c r="H399" s="7"/>
      <c r="I399" s="5"/>
    </row>
    <row r="400" ht="15.75" customHeight="1">
      <c r="H400" s="7"/>
      <c r="I400" s="5"/>
    </row>
    <row r="401" ht="15.75" customHeight="1">
      <c r="H401" s="7"/>
      <c r="I401" s="5"/>
    </row>
    <row r="402" ht="15.75" customHeight="1">
      <c r="H402" s="7"/>
      <c r="I402" s="5"/>
    </row>
    <row r="403" ht="15.75" customHeight="1">
      <c r="H403" s="7"/>
      <c r="I403" s="5"/>
    </row>
    <row r="404" ht="15.75" customHeight="1">
      <c r="H404" s="7"/>
      <c r="I404" s="5"/>
    </row>
    <row r="405" ht="15.75" customHeight="1">
      <c r="H405" s="7"/>
      <c r="I405" s="5"/>
    </row>
    <row r="406" ht="15.75" customHeight="1">
      <c r="H406" s="7"/>
      <c r="I406" s="5"/>
    </row>
    <row r="407" ht="15.75" customHeight="1">
      <c r="H407" s="7"/>
      <c r="I407" s="5"/>
    </row>
    <row r="408" ht="15.75" customHeight="1">
      <c r="H408" s="7"/>
      <c r="I408" s="5"/>
    </row>
    <row r="409" ht="15.75" customHeight="1">
      <c r="H409" s="7"/>
      <c r="I409" s="5"/>
    </row>
    <row r="410" ht="15.75" customHeight="1">
      <c r="H410" s="7"/>
      <c r="I410" s="5"/>
    </row>
    <row r="411" ht="15.75" customHeight="1">
      <c r="H411" s="7"/>
      <c r="I411" s="5"/>
    </row>
    <row r="412" ht="15.75" customHeight="1">
      <c r="H412" s="7"/>
      <c r="I412" s="5"/>
    </row>
    <row r="413" ht="15.75" customHeight="1">
      <c r="H413" s="7"/>
      <c r="I413" s="5"/>
    </row>
    <row r="414" ht="15.75" customHeight="1">
      <c r="H414" s="7"/>
      <c r="I414" s="5"/>
    </row>
    <row r="415" ht="15.75" customHeight="1">
      <c r="H415" s="7"/>
      <c r="I415" s="5"/>
    </row>
    <row r="416" ht="15.75" customHeight="1">
      <c r="H416" s="7"/>
      <c r="I416" s="5"/>
    </row>
    <row r="417" ht="15.75" customHeight="1">
      <c r="H417" s="7"/>
      <c r="I417" s="5"/>
    </row>
    <row r="418" ht="15.75" customHeight="1">
      <c r="H418" s="7"/>
      <c r="I418" s="5"/>
    </row>
    <row r="419" ht="15.75" customHeight="1">
      <c r="H419" s="7"/>
      <c r="I419" s="5"/>
    </row>
    <row r="420" ht="15.75" customHeight="1">
      <c r="H420" s="7"/>
      <c r="I420" s="5"/>
    </row>
    <row r="421" ht="15.75" customHeight="1">
      <c r="H421" s="7"/>
      <c r="I421" s="5"/>
    </row>
    <row r="422" ht="15.75" customHeight="1">
      <c r="H422" s="7"/>
      <c r="I422" s="5"/>
    </row>
    <row r="423" ht="15.75" customHeight="1">
      <c r="H423" s="7"/>
      <c r="I423" s="5"/>
    </row>
    <row r="424" ht="15.75" customHeight="1">
      <c r="H424" s="7"/>
      <c r="I424" s="5"/>
    </row>
    <row r="425" ht="15.75" customHeight="1">
      <c r="H425" s="7"/>
      <c r="I425" s="5"/>
    </row>
    <row r="426" ht="15.75" customHeight="1">
      <c r="H426" s="7"/>
      <c r="I426" s="5"/>
    </row>
    <row r="427" ht="15.75" customHeight="1">
      <c r="H427" s="7"/>
      <c r="I427" s="5"/>
    </row>
    <row r="428" ht="15.75" customHeight="1">
      <c r="H428" s="7"/>
      <c r="I428" s="5"/>
    </row>
    <row r="429" ht="15.75" customHeight="1">
      <c r="H429" s="7"/>
      <c r="I429" s="5"/>
    </row>
    <row r="430" ht="15.75" customHeight="1">
      <c r="H430" s="7"/>
      <c r="I430" s="5"/>
    </row>
    <row r="431" ht="15.75" customHeight="1">
      <c r="H431" s="7"/>
      <c r="I431" s="5"/>
    </row>
    <row r="432" ht="15.75" customHeight="1">
      <c r="H432" s="7"/>
      <c r="I432" s="5"/>
    </row>
    <row r="433" ht="15.75" customHeight="1">
      <c r="H433" s="7"/>
      <c r="I433" s="5"/>
    </row>
    <row r="434" ht="15.75" customHeight="1">
      <c r="H434" s="7"/>
      <c r="I434" s="5"/>
    </row>
    <row r="435" ht="15.75" customHeight="1">
      <c r="H435" s="7"/>
      <c r="I435" s="5"/>
    </row>
    <row r="436" ht="15.75" customHeight="1">
      <c r="H436" s="7"/>
      <c r="I436" s="5"/>
    </row>
    <row r="437" ht="15.75" customHeight="1">
      <c r="H437" s="7"/>
      <c r="I437" s="5"/>
    </row>
    <row r="438" ht="15.75" customHeight="1">
      <c r="H438" s="7"/>
      <c r="I438" s="5"/>
    </row>
    <row r="439" ht="15.75" customHeight="1">
      <c r="H439" s="7"/>
      <c r="I439" s="5"/>
    </row>
    <row r="440" ht="15.75" customHeight="1">
      <c r="H440" s="7"/>
      <c r="I440" s="5"/>
    </row>
    <row r="441" ht="15.75" customHeight="1">
      <c r="H441" s="7"/>
      <c r="I441" s="5"/>
    </row>
    <row r="442" ht="15.75" customHeight="1">
      <c r="H442" s="7"/>
      <c r="I442" s="5"/>
    </row>
    <row r="443" ht="15.75" customHeight="1">
      <c r="H443" s="7"/>
      <c r="I443" s="5"/>
    </row>
    <row r="444" ht="15.75" customHeight="1">
      <c r="H444" s="7"/>
      <c r="I444" s="5"/>
    </row>
    <row r="445" ht="15.75" customHeight="1">
      <c r="H445" s="7"/>
      <c r="I445" s="5"/>
    </row>
    <row r="446" ht="15.75" customHeight="1">
      <c r="H446" s="7"/>
      <c r="I446" s="5"/>
    </row>
    <row r="447" ht="15.75" customHeight="1">
      <c r="H447" s="7"/>
      <c r="I447" s="5"/>
    </row>
    <row r="448" ht="15.75" customHeight="1">
      <c r="H448" s="7"/>
      <c r="I448" s="5"/>
    </row>
    <row r="449" ht="15.75" customHeight="1">
      <c r="H449" s="7"/>
      <c r="I449" s="5"/>
    </row>
    <row r="450" ht="15.75" customHeight="1">
      <c r="H450" s="7"/>
      <c r="I450" s="5"/>
    </row>
    <row r="451" ht="15.75" customHeight="1">
      <c r="H451" s="7"/>
      <c r="I451" s="5"/>
    </row>
    <row r="452" ht="15.75" customHeight="1">
      <c r="H452" s="7"/>
      <c r="I452" s="5"/>
    </row>
    <row r="453" ht="15.75" customHeight="1">
      <c r="H453" s="7"/>
      <c r="I453" s="5"/>
    </row>
    <row r="454" ht="15.75" customHeight="1">
      <c r="H454" s="7"/>
      <c r="I454" s="5"/>
    </row>
    <row r="455" ht="15.75" customHeight="1">
      <c r="H455" s="7"/>
      <c r="I455" s="5"/>
    </row>
    <row r="456" ht="15.75" customHeight="1">
      <c r="H456" s="7"/>
      <c r="I456" s="5"/>
    </row>
    <row r="457" ht="15.75" customHeight="1">
      <c r="H457" s="7"/>
      <c r="I457" s="5"/>
    </row>
    <row r="458" ht="15.75" customHeight="1">
      <c r="H458" s="7"/>
      <c r="I458" s="5"/>
    </row>
    <row r="459" ht="15.75" customHeight="1">
      <c r="H459" s="7"/>
      <c r="I459" s="5"/>
    </row>
    <row r="460" ht="15.75" customHeight="1">
      <c r="H460" s="7"/>
      <c r="I460" s="5"/>
    </row>
    <row r="461" ht="15.75" customHeight="1">
      <c r="H461" s="7"/>
      <c r="I461" s="5"/>
    </row>
    <row r="462" ht="15.75" customHeight="1">
      <c r="H462" s="7"/>
      <c r="I462" s="5"/>
    </row>
    <row r="463" ht="15.75" customHeight="1">
      <c r="H463" s="7"/>
      <c r="I463" s="5"/>
    </row>
    <row r="464" ht="15.75" customHeight="1">
      <c r="H464" s="7"/>
      <c r="I464" s="5"/>
    </row>
    <row r="465" ht="15.75" customHeight="1">
      <c r="H465" s="7"/>
      <c r="I465" s="5"/>
    </row>
    <row r="466" ht="15.75" customHeight="1">
      <c r="H466" s="7"/>
      <c r="I466" s="5"/>
    </row>
    <row r="467" ht="15.75" customHeight="1">
      <c r="H467" s="7"/>
      <c r="I467" s="5"/>
    </row>
    <row r="468" ht="15.75" customHeight="1">
      <c r="H468" s="7"/>
      <c r="I468" s="5"/>
    </row>
    <row r="469" ht="15.75" customHeight="1">
      <c r="H469" s="7"/>
      <c r="I469" s="5"/>
    </row>
    <row r="470" ht="15.75" customHeight="1">
      <c r="H470" s="7"/>
      <c r="I470" s="5"/>
    </row>
    <row r="471" ht="15.75" customHeight="1">
      <c r="H471" s="7"/>
      <c r="I471" s="5"/>
    </row>
    <row r="472" ht="15.75" customHeight="1">
      <c r="H472" s="7"/>
      <c r="I472" s="5"/>
    </row>
    <row r="473" ht="15.75" customHeight="1">
      <c r="H473" s="7"/>
      <c r="I473" s="5"/>
    </row>
    <row r="474" ht="15.75" customHeight="1">
      <c r="H474" s="7"/>
      <c r="I474" s="5"/>
    </row>
    <row r="475" ht="15.75" customHeight="1">
      <c r="H475" s="7"/>
      <c r="I475" s="5"/>
    </row>
    <row r="476" ht="15.75" customHeight="1">
      <c r="H476" s="7"/>
      <c r="I476" s="5"/>
    </row>
    <row r="477" ht="15.75" customHeight="1">
      <c r="H477" s="7"/>
      <c r="I477" s="5"/>
    </row>
    <row r="478" ht="15.75" customHeight="1">
      <c r="H478" s="7"/>
      <c r="I478" s="5"/>
    </row>
    <row r="479" ht="15.75" customHeight="1">
      <c r="H479" s="7"/>
      <c r="I479" s="5"/>
    </row>
    <row r="480" ht="15.75" customHeight="1">
      <c r="H480" s="7"/>
      <c r="I480" s="5"/>
    </row>
    <row r="481" ht="15.75" customHeight="1">
      <c r="H481" s="7"/>
      <c r="I481" s="5"/>
    </row>
    <row r="482" ht="15.75" customHeight="1">
      <c r="H482" s="7"/>
      <c r="I482" s="5"/>
    </row>
    <row r="483" ht="15.75" customHeight="1">
      <c r="H483" s="7"/>
      <c r="I483" s="5"/>
    </row>
    <row r="484" ht="15.75" customHeight="1">
      <c r="H484" s="7"/>
      <c r="I484" s="5"/>
    </row>
    <row r="485" ht="15.75" customHeight="1">
      <c r="H485" s="7"/>
      <c r="I485" s="5"/>
    </row>
    <row r="486" ht="15.75" customHeight="1">
      <c r="H486" s="7"/>
      <c r="I486" s="5"/>
    </row>
    <row r="487" ht="15.75" customHeight="1">
      <c r="H487" s="7"/>
      <c r="I487" s="5"/>
    </row>
    <row r="488" ht="15.75" customHeight="1">
      <c r="H488" s="7"/>
      <c r="I488" s="5"/>
    </row>
    <row r="489" ht="15.75" customHeight="1">
      <c r="H489" s="7"/>
      <c r="I489" s="5"/>
    </row>
    <row r="490" ht="15.75" customHeight="1">
      <c r="H490" s="7"/>
      <c r="I490" s="5"/>
    </row>
    <row r="491" ht="15.75" customHeight="1">
      <c r="H491" s="7"/>
      <c r="I491" s="5"/>
    </row>
    <row r="492" ht="15.75" customHeight="1">
      <c r="H492" s="7"/>
      <c r="I492" s="5"/>
    </row>
    <row r="493" ht="15.75" customHeight="1">
      <c r="H493" s="7"/>
      <c r="I493" s="5"/>
    </row>
    <row r="494" ht="15.75" customHeight="1">
      <c r="H494" s="7"/>
      <c r="I494" s="5"/>
    </row>
    <row r="495" ht="15.75" customHeight="1">
      <c r="H495" s="7"/>
      <c r="I495" s="5"/>
    </row>
    <row r="496" ht="15.75" customHeight="1">
      <c r="H496" s="7"/>
      <c r="I496" s="5"/>
    </row>
    <row r="497" ht="15.75" customHeight="1">
      <c r="H497" s="7"/>
      <c r="I497" s="5"/>
    </row>
    <row r="498" ht="15.75" customHeight="1">
      <c r="H498" s="7"/>
      <c r="I498" s="5"/>
    </row>
    <row r="499" ht="15.75" customHeight="1">
      <c r="H499" s="7"/>
      <c r="I499" s="5"/>
    </row>
    <row r="500" ht="15.75" customHeight="1">
      <c r="H500" s="7"/>
      <c r="I500" s="5"/>
    </row>
    <row r="501" ht="15.75" customHeight="1">
      <c r="H501" s="7"/>
      <c r="I501" s="5"/>
    </row>
    <row r="502" ht="15.75" customHeight="1">
      <c r="H502" s="7"/>
      <c r="I502" s="5"/>
    </row>
    <row r="503" ht="15.75" customHeight="1">
      <c r="H503" s="7"/>
      <c r="I503" s="5"/>
    </row>
    <row r="504" ht="15.75" customHeight="1">
      <c r="H504" s="7"/>
      <c r="I504" s="5"/>
    </row>
    <row r="505" ht="15.75" customHeight="1">
      <c r="H505" s="7"/>
      <c r="I505" s="5"/>
    </row>
    <row r="506" ht="15.75" customHeight="1">
      <c r="H506" s="7"/>
      <c r="I506" s="5"/>
    </row>
    <row r="507" ht="15.75" customHeight="1">
      <c r="H507" s="7"/>
      <c r="I507" s="5"/>
    </row>
    <row r="508" ht="15.75" customHeight="1">
      <c r="H508" s="7"/>
      <c r="I508" s="5"/>
    </row>
    <row r="509" ht="15.75" customHeight="1">
      <c r="H509" s="7"/>
      <c r="I509" s="5"/>
    </row>
    <row r="510" ht="15.75" customHeight="1">
      <c r="H510" s="7"/>
      <c r="I510" s="5"/>
    </row>
    <row r="511" ht="15.75" customHeight="1">
      <c r="H511" s="7"/>
      <c r="I511" s="5"/>
    </row>
    <row r="512" ht="15.75" customHeight="1">
      <c r="H512" s="7"/>
      <c r="I512" s="5"/>
    </row>
    <row r="513" ht="15.75" customHeight="1">
      <c r="H513" s="7"/>
      <c r="I513" s="5"/>
    </row>
    <row r="514" ht="15.75" customHeight="1">
      <c r="H514" s="7"/>
      <c r="I514" s="5"/>
    </row>
    <row r="515" ht="15.75" customHeight="1">
      <c r="H515" s="7"/>
      <c r="I515" s="5"/>
    </row>
    <row r="516" ht="15.75" customHeight="1">
      <c r="H516" s="7"/>
      <c r="I516" s="5"/>
    </row>
    <row r="517" ht="15.75" customHeight="1">
      <c r="H517" s="7"/>
      <c r="I517" s="5"/>
    </row>
    <row r="518" ht="15.75" customHeight="1">
      <c r="H518" s="7"/>
      <c r="I518" s="5"/>
    </row>
    <row r="519" ht="15.75" customHeight="1">
      <c r="H519" s="7"/>
      <c r="I519" s="5"/>
    </row>
    <row r="520" ht="15.75" customHeight="1">
      <c r="H520" s="7"/>
      <c r="I520" s="5"/>
    </row>
    <row r="521" ht="15.75" customHeight="1">
      <c r="H521" s="7"/>
      <c r="I521" s="5"/>
    </row>
    <row r="522" ht="15.75" customHeight="1">
      <c r="H522" s="7"/>
      <c r="I522" s="5"/>
    </row>
    <row r="523" ht="15.75" customHeight="1">
      <c r="H523" s="7"/>
      <c r="I523" s="5"/>
    </row>
    <row r="524" ht="15.75" customHeight="1">
      <c r="H524" s="7"/>
      <c r="I524" s="5"/>
    </row>
    <row r="525" ht="15.75" customHeight="1">
      <c r="H525" s="7"/>
      <c r="I525" s="5"/>
    </row>
    <row r="526" ht="15.75" customHeight="1">
      <c r="H526" s="7"/>
      <c r="I526" s="5"/>
    </row>
    <row r="527" ht="15.75" customHeight="1">
      <c r="H527" s="7"/>
      <c r="I527" s="5"/>
    </row>
    <row r="528" ht="15.75" customHeight="1">
      <c r="H528" s="7"/>
      <c r="I528" s="5"/>
    </row>
    <row r="529" ht="15.75" customHeight="1">
      <c r="H529" s="7"/>
      <c r="I529" s="5"/>
    </row>
    <row r="530" ht="15.75" customHeight="1">
      <c r="H530" s="7"/>
      <c r="I530" s="5"/>
    </row>
    <row r="531" ht="15.75" customHeight="1">
      <c r="H531" s="7"/>
      <c r="I531" s="5"/>
    </row>
    <row r="532" ht="15.75" customHeight="1">
      <c r="H532" s="7"/>
      <c r="I532" s="5"/>
    </row>
    <row r="533" ht="15.75" customHeight="1">
      <c r="H533" s="7"/>
      <c r="I533" s="5"/>
    </row>
    <row r="534" ht="15.75" customHeight="1">
      <c r="H534" s="7"/>
      <c r="I534" s="5"/>
    </row>
    <row r="535" ht="15.75" customHeight="1">
      <c r="H535" s="7"/>
      <c r="I535" s="5"/>
    </row>
    <row r="536" ht="15.75" customHeight="1">
      <c r="H536" s="7"/>
      <c r="I536" s="5"/>
    </row>
    <row r="537" ht="15.75" customHeight="1">
      <c r="H537" s="7"/>
      <c r="I537" s="5"/>
    </row>
    <row r="538" ht="15.75" customHeight="1">
      <c r="H538" s="7"/>
      <c r="I538" s="5"/>
    </row>
    <row r="539" ht="15.75" customHeight="1">
      <c r="H539" s="7"/>
      <c r="I539" s="5"/>
    </row>
    <row r="540" ht="15.75" customHeight="1">
      <c r="H540" s="7"/>
      <c r="I540" s="5"/>
    </row>
    <row r="541" ht="15.75" customHeight="1">
      <c r="H541" s="7"/>
      <c r="I541" s="5"/>
    </row>
    <row r="542" ht="15.75" customHeight="1">
      <c r="H542" s="7"/>
      <c r="I542" s="5"/>
    </row>
    <row r="543" ht="15.75" customHeight="1">
      <c r="H543" s="7"/>
      <c r="I543" s="5"/>
    </row>
    <row r="544" ht="15.75" customHeight="1">
      <c r="H544" s="7"/>
      <c r="I544" s="5"/>
    </row>
    <row r="545" ht="15.75" customHeight="1">
      <c r="H545" s="7"/>
      <c r="I545" s="5"/>
    </row>
    <row r="546" ht="15.75" customHeight="1">
      <c r="H546" s="7"/>
      <c r="I546" s="5"/>
    </row>
    <row r="547" ht="15.75" customHeight="1">
      <c r="H547" s="7"/>
      <c r="I547" s="5"/>
    </row>
    <row r="548" ht="15.75" customHeight="1">
      <c r="H548" s="7"/>
      <c r="I548" s="5"/>
    </row>
    <row r="549" ht="15.75" customHeight="1">
      <c r="H549" s="7"/>
      <c r="I549" s="5"/>
    </row>
    <row r="550" ht="15.75" customHeight="1">
      <c r="H550" s="7"/>
      <c r="I550" s="5"/>
    </row>
    <row r="551" ht="15.75" customHeight="1">
      <c r="H551" s="7"/>
      <c r="I551" s="5"/>
    </row>
    <row r="552" ht="15.75" customHeight="1">
      <c r="H552" s="7"/>
      <c r="I552" s="5"/>
    </row>
    <row r="553" ht="15.75" customHeight="1">
      <c r="H553" s="7"/>
      <c r="I553" s="5"/>
    </row>
    <row r="554" ht="15.75" customHeight="1">
      <c r="H554" s="7"/>
      <c r="I554" s="5"/>
    </row>
    <row r="555" ht="15.75" customHeight="1">
      <c r="H555" s="7"/>
      <c r="I555" s="5"/>
    </row>
    <row r="556" ht="15.75" customHeight="1">
      <c r="H556" s="7"/>
      <c r="I556" s="5"/>
    </row>
    <row r="557" ht="15.75" customHeight="1">
      <c r="H557" s="7"/>
      <c r="I557" s="5"/>
    </row>
    <row r="558" ht="15.75" customHeight="1">
      <c r="H558" s="7"/>
      <c r="I558" s="5"/>
    </row>
    <row r="559" ht="15.75" customHeight="1">
      <c r="H559" s="7"/>
      <c r="I559" s="5"/>
    </row>
    <row r="560" ht="15.75" customHeight="1">
      <c r="H560" s="7"/>
      <c r="I560" s="5"/>
    </row>
    <row r="561" ht="15.75" customHeight="1">
      <c r="H561" s="7"/>
      <c r="I561" s="5"/>
    </row>
    <row r="562" ht="15.75" customHeight="1">
      <c r="H562" s="7"/>
      <c r="I562" s="5"/>
    </row>
    <row r="563" ht="15.75" customHeight="1">
      <c r="H563" s="7"/>
      <c r="I563" s="5"/>
    </row>
    <row r="564" ht="15.75" customHeight="1">
      <c r="H564" s="7"/>
      <c r="I564" s="5"/>
    </row>
    <row r="565" ht="15.75" customHeight="1">
      <c r="H565" s="7"/>
      <c r="I565" s="5"/>
    </row>
    <row r="566" ht="15.75" customHeight="1">
      <c r="H566" s="7"/>
      <c r="I566" s="5"/>
    </row>
    <row r="567" ht="15.75" customHeight="1">
      <c r="H567" s="7"/>
      <c r="I567" s="5"/>
    </row>
    <row r="568" ht="15.75" customHeight="1">
      <c r="H568" s="7"/>
      <c r="I568" s="5"/>
    </row>
    <row r="569" ht="15.75" customHeight="1">
      <c r="H569" s="7"/>
      <c r="I569" s="5"/>
    </row>
    <row r="570" ht="15.75" customHeight="1">
      <c r="H570" s="7"/>
      <c r="I570" s="5"/>
    </row>
    <row r="571" ht="15.75" customHeight="1">
      <c r="H571" s="7"/>
      <c r="I571" s="5"/>
    </row>
    <row r="572" ht="15.75" customHeight="1">
      <c r="H572" s="7"/>
      <c r="I572" s="5"/>
    </row>
    <row r="573" ht="15.75" customHeight="1">
      <c r="H573" s="7"/>
      <c r="I573" s="5"/>
    </row>
    <row r="574" ht="15.75" customHeight="1">
      <c r="H574" s="7"/>
      <c r="I574" s="5"/>
    </row>
    <row r="575" ht="15.75" customHeight="1">
      <c r="H575" s="7"/>
      <c r="I575" s="5"/>
    </row>
    <row r="576" ht="15.75" customHeight="1">
      <c r="H576" s="7"/>
      <c r="I576" s="5"/>
    </row>
    <row r="577" ht="15.75" customHeight="1">
      <c r="H577" s="7"/>
      <c r="I577" s="5"/>
    </row>
    <row r="578" ht="15.75" customHeight="1">
      <c r="H578" s="7"/>
      <c r="I578" s="5"/>
    </row>
    <row r="579" ht="15.75" customHeight="1">
      <c r="H579" s="7"/>
      <c r="I579" s="5"/>
    </row>
    <row r="580" ht="15.75" customHeight="1">
      <c r="H580" s="7"/>
      <c r="I580" s="5"/>
    </row>
    <row r="581" ht="15.75" customHeight="1">
      <c r="H581" s="7"/>
      <c r="I581" s="5"/>
    </row>
    <row r="582" ht="15.75" customHeight="1">
      <c r="H582" s="7"/>
      <c r="I582" s="5"/>
    </row>
    <row r="583" ht="15.75" customHeight="1">
      <c r="H583" s="7"/>
      <c r="I583" s="5"/>
    </row>
    <row r="584" ht="15.75" customHeight="1">
      <c r="H584" s="7"/>
      <c r="I584" s="5"/>
    </row>
    <row r="585" ht="15.75" customHeight="1">
      <c r="H585" s="7"/>
      <c r="I585" s="5"/>
    </row>
    <row r="586" ht="15.75" customHeight="1">
      <c r="H586" s="7"/>
      <c r="I586" s="5"/>
    </row>
    <row r="587" ht="15.75" customHeight="1">
      <c r="H587" s="7"/>
      <c r="I587" s="5"/>
    </row>
    <row r="588" ht="15.75" customHeight="1">
      <c r="H588" s="7"/>
      <c r="I588" s="5"/>
    </row>
    <row r="589" ht="15.75" customHeight="1">
      <c r="H589" s="7"/>
      <c r="I589" s="5"/>
    </row>
    <row r="590" ht="15.75" customHeight="1">
      <c r="H590" s="7"/>
      <c r="I590" s="5"/>
    </row>
    <row r="591" ht="15.75" customHeight="1">
      <c r="H591" s="7"/>
      <c r="I591" s="5"/>
    </row>
    <row r="592" ht="15.75" customHeight="1">
      <c r="H592" s="7"/>
      <c r="I592" s="5"/>
    </row>
    <row r="593" ht="15.75" customHeight="1">
      <c r="H593" s="7"/>
      <c r="I593" s="5"/>
    </row>
    <row r="594" ht="15.75" customHeight="1">
      <c r="H594" s="7"/>
      <c r="I594" s="5"/>
    </row>
    <row r="595" ht="15.75" customHeight="1">
      <c r="H595" s="7"/>
      <c r="I595" s="5"/>
    </row>
    <row r="596" ht="15.75" customHeight="1">
      <c r="H596" s="7"/>
      <c r="I596" s="5"/>
    </row>
    <row r="597" ht="15.75" customHeight="1">
      <c r="H597" s="7"/>
      <c r="I597" s="5"/>
    </row>
    <row r="598" ht="15.75" customHeight="1">
      <c r="H598" s="7"/>
      <c r="I598" s="5"/>
    </row>
    <row r="599" ht="15.75" customHeight="1">
      <c r="H599" s="7"/>
      <c r="I599" s="5"/>
    </row>
    <row r="600" ht="15.75" customHeight="1">
      <c r="H600" s="7"/>
      <c r="I600" s="5"/>
    </row>
    <row r="601" ht="15.75" customHeight="1">
      <c r="H601" s="7"/>
      <c r="I601" s="5"/>
    </row>
    <row r="602" ht="15.75" customHeight="1">
      <c r="H602" s="7"/>
      <c r="I602" s="5"/>
    </row>
    <row r="603" ht="15.75" customHeight="1">
      <c r="H603" s="7"/>
      <c r="I603" s="5"/>
    </row>
    <row r="604" ht="15.75" customHeight="1">
      <c r="H604" s="7"/>
      <c r="I604" s="5"/>
    </row>
    <row r="605" ht="15.75" customHeight="1">
      <c r="H605" s="7"/>
      <c r="I605" s="5"/>
    </row>
    <row r="606" ht="15.75" customHeight="1">
      <c r="H606" s="7"/>
      <c r="I606" s="5"/>
    </row>
    <row r="607" ht="15.75" customHeight="1">
      <c r="H607" s="7"/>
      <c r="I607" s="5"/>
    </row>
    <row r="608" ht="15.75" customHeight="1">
      <c r="H608" s="7"/>
      <c r="I608" s="5"/>
    </row>
    <row r="609" ht="15.75" customHeight="1">
      <c r="H609" s="7"/>
      <c r="I609" s="5"/>
    </row>
    <row r="610" ht="15.75" customHeight="1">
      <c r="H610" s="7"/>
      <c r="I610" s="5"/>
    </row>
    <row r="611" ht="15.75" customHeight="1">
      <c r="H611" s="7"/>
      <c r="I611" s="5"/>
    </row>
    <row r="612" ht="15.75" customHeight="1">
      <c r="H612" s="7"/>
      <c r="I612" s="5"/>
    </row>
    <row r="613" ht="15.75" customHeight="1">
      <c r="H613" s="7"/>
      <c r="I613" s="5"/>
    </row>
    <row r="614" ht="15.75" customHeight="1">
      <c r="H614" s="7"/>
      <c r="I614" s="5"/>
    </row>
    <row r="615" ht="15.75" customHeight="1">
      <c r="H615" s="7"/>
      <c r="I615" s="5"/>
    </row>
    <row r="616" ht="15.75" customHeight="1">
      <c r="H616" s="7"/>
      <c r="I616" s="5"/>
    </row>
    <row r="617" ht="15.75" customHeight="1">
      <c r="H617" s="7"/>
      <c r="I617" s="5"/>
    </row>
    <row r="618" ht="15.75" customHeight="1">
      <c r="H618" s="7"/>
      <c r="I618" s="5"/>
    </row>
    <row r="619" ht="15.75" customHeight="1">
      <c r="H619" s="7"/>
      <c r="I619" s="5"/>
    </row>
    <row r="620" ht="15.75" customHeight="1">
      <c r="H620" s="7"/>
      <c r="I620" s="5"/>
    </row>
    <row r="621" ht="15.75" customHeight="1">
      <c r="H621" s="7"/>
      <c r="I621" s="5"/>
    </row>
    <row r="622" ht="15.75" customHeight="1">
      <c r="H622" s="7"/>
      <c r="I622" s="5"/>
    </row>
    <row r="623" ht="15.75" customHeight="1">
      <c r="H623" s="7"/>
      <c r="I623" s="5"/>
    </row>
    <row r="624" ht="15.75" customHeight="1">
      <c r="H624" s="7"/>
      <c r="I624" s="5"/>
    </row>
    <row r="625" ht="15.75" customHeight="1">
      <c r="H625" s="7"/>
      <c r="I625" s="5"/>
    </row>
    <row r="626" ht="15.75" customHeight="1">
      <c r="H626" s="7"/>
      <c r="I626" s="5"/>
    </row>
    <row r="627" ht="15.75" customHeight="1">
      <c r="H627" s="7"/>
      <c r="I627" s="5"/>
    </row>
    <row r="628" ht="15.75" customHeight="1">
      <c r="H628" s="7"/>
      <c r="I628" s="5"/>
    </row>
    <row r="629" ht="15.75" customHeight="1">
      <c r="H629" s="7"/>
      <c r="I629" s="5"/>
    </row>
    <row r="630" ht="15.75" customHeight="1">
      <c r="H630" s="7"/>
      <c r="I630" s="5"/>
    </row>
    <row r="631" ht="15.75" customHeight="1">
      <c r="H631" s="7"/>
      <c r="I631" s="5"/>
    </row>
    <row r="632" ht="15.75" customHeight="1">
      <c r="H632" s="7"/>
      <c r="I632" s="5"/>
    </row>
    <row r="633" ht="15.75" customHeight="1">
      <c r="H633" s="7"/>
      <c r="I633" s="5"/>
    </row>
    <row r="634" ht="15.75" customHeight="1">
      <c r="H634" s="7"/>
      <c r="I634" s="5"/>
    </row>
    <row r="635" ht="15.75" customHeight="1">
      <c r="H635" s="7"/>
      <c r="I635" s="5"/>
    </row>
    <row r="636" ht="15.75" customHeight="1">
      <c r="H636" s="7"/>
      <c r="I636" s="5"/>
    </row>
    <row r="637" ht="15.75" customHeight="1">
      <c r="H637" s="7"/>
      <c r="I637" s="5"/>
    </row>
    <row r="638" ht="15.75" customHeight="1">
      <c r="H638" s="7"/>
      <c r="I638" s="5"/>
    </row>
    <row r="639" ht="15.75" customHeight="1">
      <c r="H639" s="7"/>
      <c r="I639" s="5"/>
    </row>
    <row r="640" ht="15.75" customHeight="1">
      <c r="H640" s="7"/>
      <c r="I640" s="5"/>
    </row>
    <row r="641" ht="15.75" customHeight="1">
      <c r="H641" s="7"/>
      <c r="I641" s="5"/>
    </row>
    <row r="642" ht="15.75" customHeight="1">
      <c r="H642" s="7"/>
      <c r="I642" s="5"/>
    </row>
    <row r="643" ht="15.75" customHeight="1">
      <c r="H643" s="7"/>
      <c r="I643" s="5"/>
    </row>
    <row r="644" ht="15.75" customHeight="1">
      <c r="H644" s="7"/>
      <c r="I644" s="5"/>
    </row>
    <row r="645" ht="15.75" customHeight="1">
      <c r="H645" s="7"/>
      <c r="I645" s="5"/>
    </row>
    <row r="646" ht="15.75" customHeight="1">
      <c r="H646" s="7"/>
      <c r="I646" s="5"/>
    </row>
    <row r="647" ht="15.75" customHeight="1">
      <c r="H647" s="7"/>
      <c r="I647" s="5"/>
    </row>
    <row r="648" ht="15.75" customHeight="1">
      <c r="H648" s="7"/>
      <c r="I648" s="5"/>
    </row>
    <row r="649" ht="15.75" customHeight="1">
      <c r="H649" s="7"/>
      <c r="I649" s="5"/>
    </row>
    <row r="650" ht="15.75" customHeight="1">
      <c r="H650" s="7"/>
      <c r="I650" s="5"/>
    </row>
    <row r="651" ht="15.75" customHeight="1">
      <c r="H651" s="7"/>
      <c r="I651" s="5"/>
    </row>
    <row r="652" ht="15.75" customHeight="1">
      <c r="H652" s="7"/>
      <c r="I652" s="5"/>
    </row>
    <row r="653" ht="15.75" customHeight="1">
      <c r="H653" s="7"/>
      <c r="I653" s="5"/>
    </row>
    <row r="654" ht="15.75" customHeight="1">
      <c r="H654" s="7"/>
      <c r="I654" s="5"/>
    </row>
    <row r="655" ht="15.75" customHeight="1">
      <c r="H655" s="7"/>
      <c r="I655" s="5"/>
    </row>
    <row r="656" ht="15.75" customHeight="1">
      <c r="H656" s="7"/>
      <c r="I656" s="5"/>
    </row>
    <row r="657" ht="15.75" customHeight="1">
      <c r="H657" s="7"/>
      <c r="I657" s="5"/>
    </row>
    <row r="658" ht="15.75" customHeight="1">
      <c r="H658" s="7"/>
      <c r="I658" s="5"/>
    </row>
    <row r="659" ht="15.75" customHeight="1">
      <c r="H659" s="7"/>
      <c r="I659" s="5"/>
    </row>
    <row r="660" ht="15.75" customHeight="1">
      <c r="H660" s="7"/>
      <c r="I660" s="5"/>
    </row>
    <row r="661" ht="15.75" customHeight="1">
      <c r="H661" s="7"/>
      <c r="I661" s="5"/>
    </row>
    <row r="662" ht="15.75" customHeight="1">
      <c r="H662" s="7"/>
      <c r="I662" s="5"/>
    </row>
    <row r="663" ht="15.75" customHeight="1">
      <c r="H663" s="7"/>
      <c r="I663" s="5"/>
    </row>
    <row r="664" ht="15.75" customHeight="1">
      <c r="H664" s="7"/>
      <c r="I664" s="5"/>
    </row>
    <row r="665" ht="15.75" customHeight="1">
      <c r="H665" s="7"/>
      <c r="I665" s="5"/>
    </row>
    <row r="666" ht="15.75" customHeight="1">
      <c r="H666" s="7"/>
      <c r="I666" s="5"/>
    </row>
    <row r="667" ht="15.75" customHeight="1">
      <c r="H667" s="7"/>
      <c r="I667" s="5"/>
    </row>
    <row r="668" ht="15.75" customHeight="1">
      <c r="H668" s="7"/>
      <c r="I668" s="5"/>
    </row>
    <row r="669" ht="15.75" customHeight="1">
      <c r="H669" s="7"/>
      <c r="I669" s="5"/>
    </row>
    <row r="670" ht="15.75" customHeight="1">
      <c r="H670" s="7"/>
      <c r="I670" s="5"/>
    </row>
    <row r="671" ht="15.75" customHeight="1">
      <c r="H671" s="7"/>
      <c r="I671" s="5"/>
    </row>
    <row r="672" ht="15.75" customHeight="1">
      <c r="H672" s="7"/>
      <c r="I672" s="5"/>
    </row>
    <row r="673" ht="15.75" customHeight="1">
      <c r="H673" s="7"/>
      <c r="I673" s="5"/>
    </row>
    <row r="674" ht="15.75" customHeight="1">
      <c r="H674" s="7"/>
      <c r="I674" s="5"/>
    </row>
    <row r="675" ht="15.75" customHeight="1">
      <c r="H675" s="7"/>
      <c r="I675" s="5"/>
    </row>
    <row r="676" ht="15.75" customHeight="1">
      <c r="H676" s="7"/>
      <c r="I676" s="5"/>
    </row>
    <row r="677" ht="15.75" customHeight="1">
      <c r="H677" s="7"/>
      <c r="I677" s="5"/>
    </row>
    <row r="678" ht="15.75" customHeight="1">
      <c r="H678" s="7"/>
      <c r="I678" s="5"/>
    </row>
    <row r="679" ht="15.75" customHeight="1">
      <c r="H679" s="7"/>
      <c r="I679" s="5"/>
    </row>
    <row r="680" ht="15.75" customHeight="1">
      <c r="H680" s="7"/>
      <c r="I680" s="5"/>
    </row>
    <row r="681" ht="15.75" customHeight="1">
      <c r="H681" s="7"/>
      <c r="I681" s="5"/>
    </row>
    <row r="682" ht="15.75" customHeight="1">
      <c r="H682" s="7"/>
      <c r="I682" s="5"/>
    </row>
    <row r="683" ht="15.75" customHeight="1">
      <c r="H683" s="7"/>
      <c r="I683" s="5"/>
    </row>
    <row r="684" ht="15.75" customHeight="1">
      <c r="H684" s="7"/>
      <c r="I684" s="5"/>
    </row>
    <row r="685" ht="15.75" customHeight="1">
      <c r="H685" s="7"/>
      <c r="I685" s="5"/>
    </row>
    <row r="686" ht="15.75" customHeight="1">
      <c r="H686" s="7"/>
      <c r="I686" s="5"/>
    </row>
    <row r="687" ht="15.75" customHeight="1">
      <c r="H687" s="7"/>
      <c r="I687" s="5"/>
    </row>
    <row r="688" ht="15.75" customHeight="1">
      <c r="H688" s="7"/>
      <c r="I688" s="5"/>
    </row>
    <row r="689" ht="15.75" customHeight="1">
      <c r="H689" s="7"/>
      <c r="I689" s="5"/>
    </row>
    <row r="690" ht="15.75" customHeight="1">
      <c r="H690" s="7"/>
      <c r="I690" s="5"/>
    </row>
    <row r="691" ht="15.75" customHeight="1">
      <c r="H691" s="7"/>
      <c r="I691" s="5"/>
    </row>
    <row r="692" ht="15.75" customHeight="1">
      <c r="H692" s="7"/>
      <c r="I692" s="5"/>
    </row>
    <row r="693" ht="15.75" customHeight="1">
      <c r="H693" s="7"/>
      <c r="I693" s="5"/>
    </row>
    <row r="694" ht="15.75" customHeight="1">
      <c r="H694" s="7"/>
      <c r="I694" s="5"/>
    </row>
    <row r="695" ht="15.75" customHeight="1">
      <c r="H695" s="7"/>
      <c r="I695" s="5"/>
    </row>
    <row r="696" ht="15.75" customHeight="1">
      <c r="H696" s="7"/>
      <c r="I696" s="5"/>
    </row>
    <row r="697" ht="15.75" customHeight="1">
      <c r="H697" s="7"/>
      <c r="I697" s="5"/>
    </row>
    <row r="698" ht="15.75" customHeight="1">
      <c r="H698" s="7"/>
      <c r="I698" s="5"/>
    </row>
    <row r="699" ht="15.75" customHeight="1">
      <c r="H699" s="7"/>
      <c r="I699" s="5"/>
    </row>
    <row r="700" ht="15.75" customHeight="1">
      <c r="H700" s="7"/>
      <c r="I700" s="5"/>
    </row>
    <row r="701" ht="15.75" customHeight="1">
      <c r="H701" s="7"/>
      <c r="I701" s="5"/>
    </row>
    <row r="702" ht="15.75" customHeight="1">
      <c r="H702" s="7"/>
      <c r="I702" s="5"/>
    </row>
    <row r="703" ht="15.75" customHeight="1">
      <c r="H703" s="7"/>
      <c r="I703" s="5"/>
    </row>
    <row r="704" ht="15.75" customHeight="1">
      <c r="H704" s="7"/>
      <c r="I704" s="5"/>
    </row>
    <row r="705" ht="15.75" customHeight="1">
      <c r="H705" s="7"/>
      <c r="I705" s="5"/>
    </row>
    <row r="706" ht="15.75" customHeight="1">
      <c r="H706" s="7"/>
      <c r="I706" s="5"/>
    </row>
    <row r="707" ht="15.75" customHeight="1">
      <c r="H707" s="7"/>
      <c r="I707" s="5"/>
    </row>
    <row r="708" ht="15.75" customHeight="1">
      <c r="H708" s="7"/>
      <c r="I708" s="5"/>
    </row>
    <row r="709" ht="15.75" customHeight="1">
      <c r="H709" s="7"/>
      <c r="I709" s="5"/>
    </row>
    <row r="710" ht="15.75" customHeight="1">
      <c r="H710" s="7"/>
      <c r="I710" s="5"/>
    </row>
    <row r="711" ht="15.75" customHeight="1">
      <c r="H711" s="7"/>
      <c r="I711" s="5"/>
    </row>
    <row r="712" ht="15.75" customHeight="1">
      <c r="H712" s="7"/>
      <c r="I712" s="5"/>
    </row>
    <row r="713" ht="15.75" customHeight="1">
      <c r="H713" s="7"/>
      <c r="I713" s="5"/>
    </row>
    <row r="714" ht="15.75" customHeight="1">
      <c r="H714" s="7"/>
      <c r="I714" s="5"/>
    </row>
    <row r="715" ht="15.75" customHeight="1">
      <c r="H715" s="7"/>
      <c r="I715" s="5"/>
    </row>
    <row r="716" ht="15.75" customHeight="1">
      <c r="H716" s="7"/>
      <c r="I716" s="5"/>
    </row>
    <row r="717" ht="15.75" customHeight="1">
      <c r="H717" s="7"/>
      <c r="I717" s="5"/>
    </row>
    <row r="718" ht="15.75" customHeight="1">
      <c r="H718" s="7"/>
      <c r="I718" s="5"/>
    </row>
    <row r="719" ht="15.75" customHeight="1">
      <c r="H719" s="7"/>
      <c r="I719" s="5"/>
    </row>
    <row r="720" ht="15.75" customHeight="1">
      <c r="H720" s="7"/>
      <c r="I720" s="5"/>
    </row>
    <row r="721" ht="15.75" customHeight="1">
      <c r="H721" s="7"/>
      <c r="I721" s="5"/>
    </row>
    <row r="722" ht="15.75" customHeight="1">
      <c r="H722" s="7"/>
      <c r="I722" s="5"/>
    </row>
    <row r="723" ht="15.75" customHeight="1">
      <c r="H723" s="7"/>
      <c r="I723" s="5"/>
    </row>
    <row r="724" ht="15.75" customHeight="1">
      <c r="H724" s="7"/>
      <c r="I724" s="5"/>
    </row>
    <row r="725" ht="15.75" customHeight="1">
      <c r="H725" s="7"/>
      <c r="I725" s="5"/>
    </row>
    <row r="726" ht="15.75" customHeight="1">
      <c r="H726" s="7"/>
      <c r="I726" s="5"/>
    </row>
    <row r="727" ht="15.75" customHeight="1">
      <c r="H727" s="7"/>
      <c r="I727" s="5"/>
    </row>
    <row r="728" ht="15.75" customHeight="1">
      <c r="H728" s="7"/>
      <c r="I728" s="5"/>
    </row>
    <row r="729" ht="15.75" customHeight="1">
      <c r="H729" s="7"/>
      <c r="I729" s="5"/>
    </row>
    <row r="730" ht="15.75" customHeight="1">
      <c r="H730" s="7"/>
      <c r="I730" s="5"/>
    </row>
    <row r="731" ht="15.75" customHeight="1">
      <c r="H731" s="7"/>
      <c r="I731" s="5"/>
    </row>
    <row r="732" ht="15.75" customHeight="1">
      <c r="H732" s="7"/>
      <c r="I732" s="5"/>
    </row>
    <row r="733" ht="15.75" customHeight="1">
      <c r="H733" s="7"/>
      <c r="I733" s="5"/>
    </row>
    <row r="734" ht="15.75" customHeight="1">
      <c r="H734" s="7"/>
      <c r="I734" s="5"/>
    </row>
    <row r="735" ht="15.75" customHeight="1">
      <c r="H735" s="7"/>
      <c r="I735" s="5"/>
    </row>
    <row r="736" ht="15.75" customHeight="1">
      <c r="H736" s="7"/>
      <c r="I736" s="5"/>
    </row>
    <row r="737" ht="15.75" customHeight="1">
      <c r="H737" s="7"/>
      <c r="I737" s="5"/>
    </row>
    <row r="738" ht="15.75" customHeight="1">
      <c r="H738" s="7"/>
      <c r="I738" s="5"/>
    </row>
    <row r="739" ht="15.75" customHeight="1">
      <c r="H739" s="7"/>
      <c r="I739" s="5"/>
    </row>
    <row r="740" ht="15.75" customHeight="1">
      <c r="H740" s="7"/>
      <c r="I740" s="5"/>
    </row>
    <row r="741" ht="15.75" customHeight="1">
      <c r="H741" s="7"/>
      <c r="I741" s="5"/>
    </row>
    <row r="742" ht="15.75" customHeight="1">
      <c r="H742" s="7"/>
      <c r="I742" s="5"/>
    </row>
    <row r="743" ht="15.75" customHeight="1">
      <c r="H743" s="7"/>
      <c r="I743" s="5"/>
    </row>
    <row r="744" ht="15.75" customHeight="1">
      <c r="H744" s="7"/>
      <c r="I744" s="5"/>
    </row>
    <row r="745" ht="15.75" customHeight="1">
      <c r="H745" s="7"/>
      <c r="I745" s="5"/>
    </row>
    <row r="746" ht="15.75" customHeight="1">
      <c r="H746" s="7"/>
      <c r="I746" s="5"/>
    </row>
    <row r="747" ht="15.75" customHeight="1">
      <c r="H747" s="7"/>
      <c r="I747" s="5"/>
    </row>
    <row r="748" ht="15.75" customHeight="1">
      <c r="H748" s="7"/>
      <c r="I748" s="5"/>
    </row>
    <row r="749" ht="15.75" customHeight="1">
      <c r="H749" s="7"/>
      <c r="I749" s="5"/>
    </row>
    <row r="750" ht="15.75" customHeight="1">
      <c r="H750" s="7"/>
      <c r="I750" s="5"/>
    </row>
    <row r="751" ht="15.75" customHeight="1">
      <c r="H751" s="7"/>
      <c r="I751" s="5"/>
    </row>
    <row r="752" ht="15.75" customHeight="1">
      <c r="H752" s="7"/>
      <c r="I752" s="5"/>
    </row>
    <row r="753" ht="15.75" customHeight="1">
      <c r="H753" s="7"/>
      <c r="I753" s="5"/>
    </row>
    <row r="754" ht="15.75" customHeight="1">
      <c r="H754" s="7"/>
      <c r="I754" s="5"/>
    </row>
    <row r="755" ht="15.75" customHeight="1">
      <c r="H755" s="7"/>
      <c r="I755" s="5"/>
    </row>
    <row r="756" ht="15.75" customHeight="1">
      <c r="H756" s="7"/>
      <c r="I756" s="5"/>
    </row>
    <row r="757" ht="15.75" customHeight="1">
      <c r="H757" s="7"/>
      <c r="I757" s="5"/>
    </row>
    <row r="758" ht="15.75" customHeight="1">
      <c r="H758" s="7"/>
      <c r="I758" s="5"/>
    </row>
    <row r="759" ht="15.75" customHeight="1">
      <c r="H759" s="7"/>
      <c r="I759" s="5"/>
    </row>
    <row r="760" ht="15.75" customHeight="1">
      <c r="H760" s="7"/>
      <c r="I760" s="5"/>
    </row>
    <row r="761" ht="15.75" customHeight="1">
      <c r="H761" s="7"/>
      <c r="I761" s="5"/>
    </row>
    <row r="762" ht="15.75" customHeight="1">
      <c r="H762" s="7"/>
      <c r="I762" s="5"/>
    </row>
    <row r="763" ht="15.75" customHeight="1">
      <c r="H763" s="7"/>
      <c r="I763" s="5"/>
    </row>
    <row r="764" ht="15.75" customHeight="1">
      <c r="H764" s="7"/>
      <c r="I764" s="5"/>
    </row>
    <row r="765" ht="15.75" customHeight="1">
      <c r="H765" s="7"/>
      <c r="I765" s="5"/>
    </row>
    <row r="766" ht="15.75" customHeight="1">
      <c r="H766" s="7"/>
      <c r="I766" s="5"/>
    </row>
    <row r="767" ht="15.75" customHeight="1">
      <c r="H767" s="7"/>
      <c r="I767" s="5"/>
    </row>
    <row r="768" ht="15.75" customHeight="1">
      <c r="H768" s="7"/>
      <c r="I768" s="5"/>
    </row>
    <row r="769" ht="15.75" customHeight="1">
      <c r="H769" s="7"/>
      <c r="I769" s="5"/>
    </row>
    <row r="770" ht="15.75" customHeight="1">
      <c r="H770" s="7"/>
      <c r="I770" s="5"/>
    </row>
    <row r="771" ht="15.75" customHeight="1">
      <c r="H771" s="7"/>
      <c r="I771" s="5"/>
    </row>
    <row r="772" ht="15.75" customHeight="1">
      <c r="H772" s="7"/>
      <c r="I772" s="5"/>
    </row>
    <row r="773" ht="15.75" customHeight="1">
      <c r="H773" s="7"/>
      <c r="I773" s="5"/>
    </row>
    <row r="774" ht="15.75" customHeight="1">
      <c r="H774" s="7"/>
      <c r="I774" s="5"/>
    </row>
    <row r="775" ht="15.75" customHeight="1">
      <c r="H775" s="7"/>
      <c r="I775" s="5"/>
    </row>
    <row r="776" ht="15.75" customHeight="1">
      <c r="H776" s="7"/>
      <c r="I776" s="5"/>
    </row>
    <row r="777" ht="15.75" customHeight="1">
      <c r="H777" s="7"/>
      <c r="I777" s="5"/>
    </row>
    <row r="778" ht="15.75" customHeight="1">
      <c r="H778" s="7"/>
      <c r="I778" s="5"/>
    </row>
    <row r="779" ht="15.75" customHeight="1">
      <c r="H779" s="7"/>
      <c r="I779" s="5"/>
    </row>
    <row r="780" ht="15.75" customHeight="1">
      <c r="H780" s="7"/>
      <c r="I780" s="5"/>
    </row>
    <row r="781" ht="15.75" customHeight="1">
      <c r="H781" s="7"/>
      <c r="I781" s="5"/>
    </row>
    <row r="782" ht="15.75" customHeight="1">
      <c r="H782" s="7"/>
      <c r="I782" s="5"/>
    </row>
    <row r="783" ht="15.75" customHeight="1">
      <c r="H783" s="7"/>
      <c r="I783" s="5"/>
    </row>
    <row r="784" ht="15.75" customHeight="1">
      <c r="H784" s="7"/>
      <c r="I784" s="5"/>
    </row>
    <row r="785" ht="15.75" customHeight="1">
      <c r="H785" s="7"/>
      <c r="I785" s="5"/>
    </row>
    <row r="786" ht="15.75" customHeight="1">
      <c r="H786" s="7"/>
      <c r="I786" s="5"/>
    </row>
    <row r="787" ht="15.75" customHeight="1">
      <c r="H787" s="7"/>
      <c r="I787" s="5"/>
    </row>
    <row r="788" ht="15.75" customHeight="1">
      <c r="H788" s="7"/>
      <c r="I788" s="5"/>
    </row>
    <row r="789" ht="15.75" customHeight="1">
      <c r="H789" s="7"/>
      <c r="I789" s="5"/>
    </row>
    <row r="790" ht="15.75" customHeight="1">
      <c r="H790" s="7"/>
      <c r="I790" s="5"/>
    </row>
    <row r="791" ht="15.75" customHeight="1">
      <c r="H791" s="7"/>
      <c r="I791" s="5"/>
    </row>
    <row r="792" ht="15.75" customHeight="1">
      <c r="H792" s="7"/>
      <c r="I792" s="5"/>
    </row>
    <row r="793" ht="15.75" customHeight="1">
      <c r="H793" s="7"/>
      <c r="I793" s="5"/>
    </row>
    <row r="794" ht="15.75" customHeight="1">
      <c r="H794" s="7"/>
      <c r="I794" s="5"/>
    </row>
    <row r="795" ht="15.75" customHeight="1">
      <c r="H795" s="7"/>
      <c r="I795" s="5"/>
    </row>
    <row r="796" ht="15.75" customHeight="1">
      <c r="H796" s="7"/>
      <c r="I796" s="5"/>
    </row>
    <row r="797" ht="15.75" customHeight="1">
      <c r="H797" s="7"/>
      <c r="I797" s="5"/>
    </row>
    <row r="798" ht="15.75" customHeight="1">
      <c r="H798" s="7"/>
      <c r="I798" s="5"/>
    </row>
    <row r="799" ht="15.75" customHeight="1">
      <c r="H799" s="7"/>
      <c r="I799" s="5"/>
    </row>
    <row r="800" ht="15.75" customHeight="1">
      <c r="H800" s="7"/>
      <c r="I800" s="5"/>
    </row>
    <row r="801" ht="15.75" customHeight="1">
      <c r="H801" s="7"/>
      <c r="I801" s="5"/>
    </row>
    <row r="802" ht="15.75" customHeight="1">
      <c r="H802" s="7"/>
      <c r="I802" s="5"/>
    </row>
    <row r="803" ht="15.75" customHeight="1">
      <c r="H803" s="7"/>
      <c r="I803" s="5"/>
    </row>
    <row r="804" ht="15.75" customHeight="1">
      <c r="H804" s="7"/>
      <c r="I804" s="5"/>
    </row>
    <row r="805" ht="15.75" customHeight="1">
      <c r="H805" s="7"/>
      <c r="I805" s="5"/>
    </row>
    <row r="806" ht="15.75" customHeight="1">
      <c r="H806" s="7"/>
      <c r="I806" s="5"/>
    </row>
    <row r="807" ht="15.75" customHeight="1">
      <c r="H807" s="7"/>
      <c r="I807" s="5"/>
    </row>
    <row r="808" ht="15.75" customHeight="1">
      <c r="H808" s="7"/>
      <c r="I808" s="5"/>
    </row>
    <row r="809" ht="15.75" customHeight="1">
      <c r="H809" s="7"/>
      <c r="I809" s="5"/>
    </row>
    <row r="810" ht="15.75" customHeight="1">
      <c r="H810" s="7"/>
      <c r="I810" s="5"/>
    </row>
    <row r="811" ht="15.75" customHeight="1">
      <c r="H811" s="7"/>
      <c r="I811" s="5"/>
    </row>
    <row r="812" ht="15.75" customHeight="1">
      <c r="H812" s="7"/>
      <c r="I812" s="5"/>
    </row>
    <row r="813" ht="15.75" customHeight="1">
      <c r="H813" s="7"/>
      <c r="I813" s="5"/>
    </row>
    <row r="814" ht="15.75" customHeight="1">
      <c r="H814" s="7"/>
      <c r="I814" s="5"/>
    </row>
    <row r="815" ht="15.75" customHeight="1">
      <c r="H815" s="7"/>
      <c r="I815" s="5"/>
    </row>
    <row r="816" ht="15.75" customHeight="1">
      <c r="H816" s="7"/>
      <c r="I816" s="5"/>
    </row>
    <row r="817" ht="15.75" customHeight="1">
      <c r="H817" s="7"/>
      <c r="I817" s="5"/>
    </row>
    <row r="818" ht="15.75" customHeight="1">
      <c r="H818" s="7"/>
      <c r="I818" s="5"/>
    </row>
    <row r="819" ht="15.75" customHeight="1">
      <c r="H819" s="7"/>
      <c r="I819" s="5"/>
    </row>
    <row r="820" ht="15.75" customHeight="1">
      <c r="H820" s="7"/>
      <c r="I820" s="5"/>
    </row>
    <row r="821" ht="15.75" customHeight="1">
      <c r="H821" s="7"/>
      <c r="I821" s="5"/>
    </row>
    <row r="822" ht="15.75" customHeight="1">
      <c r="H822" s="7"/>
      <c r="I822" s="5"/>
    </row>
    <row r="823" ht="15.75" customHeight="1">
      <c r="H823" s="7"/>
      <c r="I823" s="5"/>
    </row>
    <row r="824" ht="15.75" customHeight="1">
      <c r="H824" s="7"/>
      <c r="I824" s="5"/>
    </row>
    <row r="825" ht="15.75" customHeight="1">
      <c r="H825" s="7"/>
      <c r="I825" s="5"/>
    </row>
    <row r="826" ht="15.75" customHeight="1">
      <c r="H826" s="7"/>
      <c r="I826" s="5"/>
    </row>
    <row r="827" ht="15.75" customHeight="1">
      <c r="H827" s="7"/>
      <c r="I827" s="5"/>
    </row>
    <row r="828" ht="15.75" customHeight="1">
      <c r="H828" s="7"/>
      <c r="I828" s="5"/>
    </row>
    <row r="829" ht="15.75" customHeight="1">
      <c r="H829" s="7"/>
      <c r="I829" s="5"/>
    </row>
    <row r="830" ht="15.75" customHeight="1">
      <c r="H830" s="7"/>
      <c r="I830" s="5"/>
    </row>
    <row r="831" ht="15.75" customHeight="1">
      <c r="H831" s="7"/>
      <c r="I831" s="5"/>
    </row>
    <row r="832" ht="15.75" customHeight="1">
      <c r="H832" s="7"/>
      <c r="I832" s="5"/>
    </row>
    <row r="833" ht="15.75" customHeight="1">
      <c r="H833" s="7"/>
      <c r="I833" s="5"/>
    </row>
    <row r="834" ht="15.75" customHeight="1">
      <c r="H834" s="7"/>
      <c r="I834" s="5"/>
    </row>
    <row r="835" ht="15.75" customHeight="1">
      <c r="H835" s="7"/>
      <c r="I835" s="5"/>
    </row>
    <row r="836" ht="15.75" customHeight="1">
      <c r="H836" s="7"/>
      <c r="I836" s="5"/>
    </row>
    <row r="837" ht="15.75" customHeight="1">
      <c r="H837" s="7"/>
      <c r="I837" s="5"/>
    </row>
    <row r="838" ht="15.75" customHeight="1">
      <c r="H838" s="7"/>
      <c r="I838" s="5"/>
    </row>
    <row r="839" ht="15.75" customHeight="1">
      <c r="H839" s="7"/>
      <c r="I839" s="5"/>
    </row>
    <row r="840" ht="15.75" customHeight="1">
      <c r="H840" s="7"/>
      <c r="I840" s="5"/>
    </row>
    <row r="841" ht="15.75" customHeight="1">
      <c r="H841" s="7"/>
      <c r="I841" s="5"/>
    </row>
    <row r="842" ht="15.75" customHeight="1">
      <c r="H842" s="7"/>
      <c r="I842" s="5"/>
    </row>
    <row r="843" ht="15.75" customHeight="1">
      <c r="H843" s="7"/>
      <c r="I843" s="5"/>
    </row>
    <row r="844" ht="15.75" customHeight="1">
      <c r="H844" s="7"/>
      <c r="I844" s="5"/>
    </row>
    <row r="845" ht="15.75" customHeight="1">
      <c r="H845" s="7"/>
      <c r="I845" s="5"/>
    </row>
    <row r="846" ht="15.75" customHeight="1">
      <c r="H846" s="7"/>
      <c r="I846" s="5"/>
    </row>
    <row r="847" ht="15.75" customHeight="1">
      <c r="H847" s="7"/>
      <c r="I847" s="5"/>
    </row>
    <row r="848" ht="15.75" customHeight="1">
      <c r="H848" s="7"/>
      <c r="I848" s="5"/>
    </row>
    <row r="849" ht="15.75" customHeight="1">
      <c r="H849" s="7"/>
      <c r="I849" s="5"/>
    </row>
    <row r="850" ht="15.75" customHeight="1">
      <c r="H850" s="7"/>
      <c r="I850" s="5"/>
    </row>
    <row r="851" ht="15.75" customHeight="1">
      <c r="H851" s="7"/>
      <c r="I851" s="5"/>
    </row>
    <row r="852" ht="15.75" customHeight="1">
      <c r="H852" s="7"/>
      <c r="I852" s="5"/>
    </row>
    <row r="853" ht="15.75" customHeight="1">
      <c r="H853" s="7"/>
      <c r="I853" s="5"/>
    </row>
    <row r="854" ht="15.75" customHeight="1">
      <c r="H854" s="7"/>
      <c r="I854" s="5"/>
    </row>
    <row r="855" ht="15.75" customHeight="1">
      <c r="H855" s="7"/>
      <c r="I855" s="5"/>
    </row>
    <row r="856" ht="15.75" customHeight="1">
      <c r="H856" s="7"/>
      <c r="I856" s="5"/>
    </row>
    <row r="857" ht="15.75" customHeight="1">
      <c r="H857" s="7"/>
      <c r="I857" s="5"/>
    </row>
    <row r="858" ht="15.75" customHeight="1">
      <c r="H858" s="7"/>
      <c r="I858" s="5"/>
    </row>
    <row r="859" ht="15.75" customHeight="1">
      <c r="H859" s="7"/>
      <c r="I859" s="5"/>
    </row>
    <row r="860" ht="15.75" customHeight="1">
      <c r="H860" s="7"/>
      <c r="I860" s="5"/>
    </row>
    <row r="861" ht="15.75" customHeight="1">
      <c r="H861" s="7"/>
      <c r="I861" s="5"/>
    </row>
    <row r="862" ht="15.75" customHeight="1">
      <c r="H862" s="7"/>
      <c r="I862" s="5"/>
    </row>
    <row r="863" ht="15.75" customHeight="1">
      <c r="H863" s="7"/>
      <c r="I863" s="5"/>
    </row>
    <row r="864" ht="15.75" customHeight="1">
      <c r="H864" s="7"/>
      <c r="I864" s="5"/>
    </row>
    <row r="865" ht="15.75" customHeight="1">
      <c r="H865" s="7"/>
      <c r="I865" s="5"/>
    </row>
    <row r="866" ht="15.75" customHeight="1">
      <c r="H866" s="7"/>
      <c r="I866" s="5"/>
    </row>
    <row r="867" ht="15.75" customHeight="1">
      <c r="H867" s="7"/>
      <c r="I867" s="5"/>
    </row>
    <row r="868" ht="15.75" customHeight="1">
      <c r="H868" s="7"/>
      <c r="I868" s="5"/>
    </row>
    <row r="869" ht="15.75" customHeight="1">
      <c r="H869" s="7"/>
      <c r="I869" s="5"/>
    </row>
    <row r="870" ht="15.75" customHeight="1">
      <c r="H870" s="7"/>
      <c r="I870" s="5"/>
    </row>
    <row r="871" ht="15.75" customHeight="1">
      <c r="H871" s="7"/>
      <c r="I871" s="5"/>
    </row>
    <row r="872" ht="15.75" customHeight="1">
      <c r="H872" s="7"/>
      <c r="I872" s="5"/>
    </row>
    <row r="873" ht="15.75" customHeight="1">
      <c r="H873" s="7"/>
      <c r="I873" s="5"/>
    </row>
    <row r="874" ht="15.75" customHeight="1">
      <c r="H874" s="7"/>
      <c r="I874" s="5"/>
    </row>
    <row r="875" ht="15.75" customHeight="1">
      <c r="H875" s="7"/>
      <c r="I875" s="5"/>
    </row>
    <row r="876" ht="15.75" customHeight="1">
      <c r="H876" s="7"/>
      <c r="I876" s="5"/>
    </row>
    <row r="877" ht="15.75" customHeight="1">
      <c r="H877" s="7"/>
      <c r="I877" s="5"/>
    </row>
    <row r="878" ht="15.75" customHeight="1">
      <c r="H878" s="7"/>
      <c r="I878" s="5"/>
    </row>
    <row r="879" ht="15.75" customHeight="1">
      <c r="H879" s="7"/>
      <c r="I879" s="5"/>
    </row>
    <row r="880" ht="15.75" customHeight="1">
      <c r="H880" s="7"/>
      <c r="I880" s="5"/>
    </row>
    <row r="881" ht="15.75" customHeight="1">
      <c r="H881" s="7"/>
      <c r="I881" s="5"/>
    </row>
    <row r="882" ht="15.75" customHeight="1">
      <c r="H882" s="7"/>
      <c r="I882" s="5"/>
    </row>
    <row r="883" ht="15.75" customHeight="1">
      <c r="H883" s="7"/>
      <c r="I883" s="5"/>
    </row>
    <row r="884" ht="15.75" customHeight="1">
      <c r="H884" s="7"/>
      <c r="I884" s="5"/>
    </row>
    <row r="885" ht="15.75" customHeight="1">
      <c r="H885" s="7"/>
      <c r="I885" s="5"/>
    </row>
    <row r="886" ht="15.75" customHeight="1">
      <c r="H886" s="7"/>
      <c r="I886" s="5"/>
    </row>
    <row r="887" ht="15.75" customHeight="1">
      <c r="H887" s="7"/>
      <c r="I887" s="5"/>
    </row>
    <row r="888" ht="15.75" customHeight="1">
      <c r="H888" s="7"/>
      <c r="I888" s="5"/>
    </row>
    <row r="889" ht="15.75" customHeight="1">
      <c r="H889" s="7"/>
      <c r="I889" s="5"/>
    </row>
    <row r="890" ht="15.75" customHeight="1">
      <c r="H890" s="7"/>
      <c r="I890" s="5"/>
    </row>
    <row r="891" ht="15.75" customHeight="1">
      <c r="H891" s="7"/>
      <c r="I891" s="5"/>
    </row>
    <row r="892" ht="15.75" customHeight="1">
      <c r="H892" s="7"/>
      <c r="I892" s="5"/>
    </row>
    <row r="893" ht="15.75" customHeight="1">
      <c r="H893" s="7"/>
      <c r="I893" s="5"/>
    </row>
    <row r="894" ht="15.75" customHeight="1">
      <c r="H894" s="7"/>
      <c r="I894" s="5"/>
    </row>
    <row r="895" ht="15.75" customHeight="1">
      <c r="H895" s="7"/>
      <c r="I895" s="5"/>
    </row>
    <row r="896" ht="15.75" customHeight="1">
      <c r="H896" s="7"/>
      <c r="I896" s="5"/>
    </row>
    <row r="897" ht="15.75" customHeight="1">
      <c r="H897" s="7"/>
      <c r="I897" s="5"/>
    </row>
    <row r="898" ht="15.75" customHeight="1">
      <c r="H898" s="7"/>
      <c r="I898" s="5"/>
    </row>
    <row r="899" ht="15.75" customHeight="1">
      <c r="H899" s="7"/>
      <c r="I899" s="5"/>
    </row>
    <row r="900" ht="15.75" customHeight="1">
      <c r="H900" s="7"/>
      <c r="I900" s="5"/>
    </row>
    <row r="901" ht="15.75" customHeight="1">
      <c r="H901" s="7"/>
      <c r="I901" s="5"/>
    </row>
    <row r="902" ht="15.75" customHeight="1">
      <c r="H902" s="7"/>
      <c r="I902" s="5"/>
    </row>
    <row r="903" ht="15.75" customHeight="1">
      <c r="H903" s="7"/>
      <c r="I903" s="5"/>
    </row>
    <row r="904" ht="15.75" customHeight="1">
      <c r="H904" s="7"/>
      <c r="I904" s="5"/>
    </row>
    <row r="905" ht="15.75" customHeight="1">
      <c r="H905" s="7"/>
      <c r="I905" s="5"/>
    </row>
    <row r="906" ht="15.75" customHeight="1">
      <c r="H906" s="7"/>
      <c r="I906" s="5"/>
    </row>
    <row r="907" ht="15.75" customHeight="1">
      <c r="H907" s="7"/>
      <c r="I907" s="5"/>
    </row>
    <row r="908" ht="15.75" customHeight="1">
      <c r="H908" s="7"/>
      <c r="I908" s="5"/>
    </row>
    <row r="909" ht="15.75" customHeight="1">
      <c r="H909" s="7"/>
      <c r="I909" s="5"/>
    </row>
    <row r="910" ht="15.75" customHeight="1">
      <c r="H910" s="7"/>
      <c r="I910" s="5"/>
    </row>
    <row r="911" ht="15.75" customHeight="1">
      <c r="H911" s="7"/>
      <c r="I911" s="5"/>
    </row>
    <row r="912" ht="15.75" customHeight="1">
      <c r="H912" s="7"/>
      <c r="I912" s="5"/>
    </row>
    <row r="913" ht="15.75" customHeight="1">
      <c r="H913" s="7"/>
      <c r="I913" s="5"/>
    </row>
    <row r="914" ht="15.75" customHeight="1">
      <c r="H914" s="7"/>
      <c r="I914" s="5"/>
    </row>
    <row r="915" ht="15.75" customHeight="1">
      <c r="H915" s="7"/>
      <c r="I915" s="5"/>
    </row>
    <row r="916" ht="15.75" customHeight="1">
      <c r="H916" s="7"/>
      <c r="I916" s="5"/>
    </row>
    <row r="917" ht="15.75" customHeight="1">
      <c r="H917" s="7"/>
      <c r="I917" s="5"/>
    </row>
    <row r="918" ht="15.75" customHeight="1">
      <c r="H918" s="7"/>
      <c r="I918" s="5"/>
    </row>
    <row r="919" ht="15.75" customHeight="1">
      <c r="H919" s="7"/>
      <c r="I919" s="5"/>
    </row>
    <row r="920" ht="15.75" customHeight="1">
      <c r="H920" s="7"/>
      <c r="I920" s="5"/>
    </row>
    <row r="921" ht="15.75" customHeight="1">
      <c r="H921" s="7"/>
      <c r="I921" s="5"/>
    </row>
    <row r="922" ht="15.75" customHeight="1">
      <c r="H922" s="7"/>
      <c r="I922" s="5"/>
    </row>
    <row r="923" ht="15.75" customHeight="1">
      <c r="H923" s="7"/>
      <c r="I923" s="5"/>
    </row>
    <row r="924" ht="15.75" customHeight="1">
      <c r="H924" s="7"/>
      <c r="I924" s="5"/>
    </row>
    <row r="925" ht="15.75" customHeight="1">
      <c r="H925" s="7"/>
      <c r="I925" s="5"/>
    </row>
    <row r="926" ht="15.75" customHeight="1">
      <c r="H926" s="7"/>
      <c r="I926" s="5"/>
    </row>
    <row r="927" ht="15.75" customHeight="1">
      <c r="H927" s="7"/>
      <c r="I927" s="5"/>
    </row>
    <row r="928" ht="15.75" customHeight="1">
      <c r="H928" s="7"/>
      <c r="I928" s="5"/>
    </row>
    <row r="929" ht="15.75" customHeight="1">
      <c r="H929" s="7"/>
      <c r="I929" s="5"/>
    </row>
    <row r="930" ht="15.75" customHeight="1">
      <c r="H930" s="7"/>
      <c r="I930" s="5"/>
    </row>
    <row r="931" ht="15.75" customHeight="1">
      <c r="H931" s="7"/>
      <c r="I931" s="5"/>
    </row>
    <row r="932" ht="15.75" customHeight="1">
      <c r="H932" s="7"/>
      <c r="I932" s="5"/>
    </row>
    <row r="933" ht="15.75" customHeight="1">
      <c r="H933" s="7"/>
      <c r="I933" s="5"/>
    </row>
    <row r="934" ht="15.75" customHeight="1">
      <c r="H934" s="7"/>
      <c r="I934" s="5"/>
    </row>
    <row r="935" ht="15.75" customHeight="1">
      <c r="H935" s="7"/>
      <c r="I935" s="5"/>
    </row>
    <row r="936" ht="15.75" customHeight="1">
      <c r="H936" s="7"/>
      <c r="I936" s="5"/>
    </row>
    <row r="937" ht="15.75" customHeight="1">
      <c r="H937" s="7"/>
      <c r="I937" s="5"/>
    </row>
    <row r="938" ht="15.75" customHeight="1">
      <c r="H938" s="7"/>
      <c r="I938" s="5"/>
    </row>
    <row r="939" ht="15.75" customHeight="1">
      <c r="H939" s="7"/>
      <c r="I939" s="5"/>
    </row>
    <row r="940" ht="15.75" customHeight="1">
      <c r="H940" s="7"/>
      <c r="I940" s="5"/>
    </row>
    <row r="941" ht="15.75" customHeight="1">
      <c r="H941" s="7"/>
      <c r="I941" s="5"/>
    </row>
    <row r="942" ht="15.75" customHeight="1">
      <c r="H942" s="7"/>
      <c r="I942" s="5"/>
    </row>
    <row r="943" ht="15.75" customHeight="1">
      <c r="H943" s="7"/>
      <c r="I943" s="5"/>
    </row>
    <row r="944" ht="15.75" customHeight="1">
      <c r="H944" s="7"/>
      <c r="I944" s="5"/>
    </row>
    <row r="945" ht="15.75" customHeight="1">
      <c r="H945" s="7"/>
      <c r="I945" s="5"/>
    </row>
    <row r="946" ht="15.75" customHeight="1">
      <c r="H946" s="7"/>
      <c r="I946" s="5"/>
    </row>
    <row r="947" ht="15.75" customHeight="1">
      <c r="H947" s="7"/>
      <c r="I947" s="5"/>
    </row>
    <row r="948" ht="15.75" customHeight="1">
      <c r="H948" s="7"/>
      <c r="I948" s="5"/>
    </row>
    <row r="949" ht="15.75" customHeight="1">
      <c r="H949" s="7"/>
      <c r="I949" s="5"/>
    </row>
    <row r="950" ht="15.75" customHeight="1">
      <c r="H950" s="7"/>
      <c r="I950" s="5"/>
    </row>
    <row r="951" ht="15.75" customHeight="1">
      <c r="H951" s="7"/>
      <c r="I951" s="5"/>
    </row>
    <row r="952" ht="15.75" customHeight="1">
      <c r="H952" s="7"/>
      <c r="I952" s="5"/>
    </row>
    <row r="953" ht="15.75" customHeight="1">
      <c r="H953" s="7"/>
      <c r="I953" s="5"/>
    </row>
    <row r="954" ht="15.75" customHeight="1">
      <c r="H954" s="7"/>
      <c r="I954" s="5"/>
    </row>
    <row r="955" ht="15.75" customHeight="1">
      <c r="H955" s="7"/>
      <c r="I955" s="5"/>
    </row>
    <row r="956" ht="15.75" customHeight="1">
      <c r="H956" s="7"/>
      <c r="I956" s="5"/>
    </row>
    <row r="957" ht="15.75" customHeight="1">
      <c r="H957" s="7"/>
      <c r="I957" s="5"/>
    </row>
    <row r="958" ht="15.75" customHeight="1">
      <c r="H958" s="7"/>
      <c r="I958" s="5"/>
    </row>
    <row r="959" ht="15.75" customHeight="1">
      <c r="H959" s="7"/>
      <c r="I959" s="5"/>
    </row>
    <row r="960" ht="15.75" customHeight="1">
      <c r="H960" s="7"/>
      <c r="I960" s="5"/>
    </row>
    <row r="961" ht="15.75" customHeight="1">
      <c r="H961" s="7"/>
      <c r="I961" s="5"/>
    </row>
    <row r="962" ht="15.75" customHeight="1">
      <c r="H962" s="7"/>
      <c r="I962" s="5"/>
    </row>
    <row r="963" ht="15.75" customHeight="1">
      <c r="H963" s="7"/>
      <c r="I963" s="5"/>
    </row>
    <row r="964" ht="15.75" customHeight="1">
      <c r="H964" s="7"/>
      <c r="I964" s="5"/>
    </row>
    <row r="965" ht="15.75" customHeight="1">
      <c r="H965" s="7"/>
      <c r="I965" s="5"/>
    </row>
    <row r="966" ht="15.75" customHeight="1">
      <c r="H966" s="7"/>
      <c r="I966" s="5"/>
    </row>
    <row r="967" ht="15.75" customHeight="1">
      <c r="H967" s="7"/>
      <c r="I967" s="5"/>
    </row>
    <row r="968" ht="15.75" customHeight="1">
      <c r="H968" s="7"/>
      <c r="I968" s="5"/>
    </row>
    <row r="969" ht="15.75" customHeight="1">
      <c r="H969" s="7"/>
      <c r="I969" s="5"/>
    </row>
    <row r="970" ht="15.75" customHeight="1">
      <c r="H970" s="7"/>
      <c r="I970" s="5"/>
    </row>
    <row r="971" ht="15.75" customHeight="1">
      <c r="H971" s="7"/>
      <c r="I971" s="5"/>
    </row>
    <row r="972" ht="15.75" customHeight="1">
      <c r="H972" s="7"/>
      <c r="I972" s="5"/>
    </row>
    <row r="973" ht="15.75" customHeight="1">
      <c r="H973" s="7"/>
      <c r="I973" s="5"/>
    </row>
    <row r="974" ht="15.75" customHeight="1">
      <c r="H974" s="7"/>
      <c r="I974" s="5"/>
    </row>
    <row r="975" ht="15.75" customHeight="1">
      <c r="H975" s="7"/>
      <c r="I975" s="5"/>
    </row>
    <row r="976" ht="15.75" customHeight="1">
      <c r="H976" s="7"/>
      <c r="I976" s="5"/>
    </row>
    <row r="977" ht="15.75" customHeight="1">
      <c r="H977" s="7"/>
      <c r="I977" s="5"/>
    </row>
    <row r="978" ht="15.75" customHeight="1">
      <c r="H978" s="7"/>
      <c r="I978" s="5"/>
    </row>
    <row r="979" ht="15.75" customHeight="1">
      <c r="H979" s="7"/>
      <c r="I979" s="5"/>
    </row>
    <row r="980" ht="15.75" customHeight="1">
      <c r="H980" s="7"/>
      <c r="I980" s="5"/>
    </row>
    <row r="981" ht="15.75" customHeight="1">
      <c r="H981" s="7"/>
      <c r="I981" s="5"/>
    </row>
    <row r="982" ht="15.75" customHeight="1">
      <c r="H982" s="7"/>
      <c r="I982" s="5"/>
    </row>
    <row r="983" ht="15.75" customHeight="1">
      <c r="H983" s="7"/>
      <c r="I983" s="5"/>
    </row>
    <row r="984" ht="15.75" customHeight="1">
      <c r="H984" s="7"/>
      <c r="I984" s="5"/>
    </row>
    <row r="985" ht="15.75" customHeight="1">
      <c r="H985" s="7"/>
      <c r="I985" s="5"/>
    </row>
    <row r="986" ht="15.75" customHeight="1">
      <c r="H986" s="7"/>
      <c r="I986" s="5"/>
    </row>
    <row r="987" ht="15.75" customHeight="1">
      <c r="H987" s="7"/>
      <c r="I987" s="5"/>
    </row>
    <row r="988" ht="15.75" customHeight="1">
      <c r="H988" s="7"/>
      <c r="I988" s="5"/>
    </row>
    <row r="989" ht="15.75" customHeight="1">
      <c r="H989" s="7"/>
      <c r="I989" s="5"/>
    </row>
    <row r="990" ht="15.75" customHeight="1">
      <c r="H990" s="7"/>
      <c r="I990" s="5"/>
    </row>
    <row r="991" ht="15.75" customHeight="1">
      <c r="H991" s="7"/>
      <c r="I991" s="5"/>
    </row>
    <row r="992" ht="15.75" customHeight="1">
      <c r="H992" s="7"/>
      <c r="I992" s="5"/>
    </row>
    <row r="993" ht="15.75" customHeight="1">
      <c r="H993" s="7"/>
      <c r="I993" s="5"/>
    </row>
    <row r="994" ht="15.75" customHeight="1">
      <c r="H994" s="7"/>
      <c r="I994" s="5"/>
    </row>
    <row r="995" ht="15.75" customHeight="1">
      <c r="H995" s="7"/>
      <c r="I995" s="5"/>
    </row>
    <row r="996" ht="15.75" customHeight="1">
      <c r="H996" s="7"/>
      <c r="I996" s="5"/>
    </row>
    <row r="997" ht="15.75" customHeight="1">
      <c r="H997" s="7"/>
      <c r="I997" s="5"/>
    </row>
    <row r="998" ht="15.75" customHeight="1">
      <c r="H998" s="7"/>
      <c r="I998" s="5"/>
    </row>
    <row r="999" ht="15.75" customHeight="1">
      <c r="H999" s="7"/>
      <c r="I999" s="5"/>
    </row>
    <row r="1000" ht="15.75" customHeight="1">
      <c r="H1000" s="7"/>
      <c r="I1000" s="5"/>
    </row>
    <row r="1001" ht="15.75" customHeight="1">
      <c r="H1001" s="7"/>
      <c r="I1001" s="5"/>
    </row>
    <row r="1002" ht="15.75" customHeight="1">
      <c r="H1002" s="7"/>
      <c r="I1002" s="5"/>
    </row>
    <row r="1003" ht="15.75" customHeight="1">
      <c r="H1003" s="7"/>
      <c r="I1003" s="5"/>
    </row>
    <row r="1004" ht="15.75" customHeight="1">
      <c r="H1004" s="7"/>
      <c r="I1004" s="5"/>
    </row>
  </sheetData>
  <autoFilter ref="$A$6:$M$20"/>
  <mergeCells count="1">
    <mergeCell ref="A1:B1"/>
  </mergeCells>
  <conditionalFormatting sqref="H1:H2 H5 I6:I21 H7:H1004 I23 I26 K30:K35 M30:M35 L31:L36">
    <cfRule type="cellIs" dxfId="0" priority="1" operator="lessThan">
      <formula>0</formula>
    </cfRule>
  </conditionalFormatting>
  <conditionalFormatting sqref="H1:H2 H5 I6:I21 H7:H1004 I23 I26 K30:K35 M30:M35 L31:L36">
    <cfRule type="cellIs" dxfId="1" priority="2" operator="greaterThan">
      <formula>0</formula>
    </cfRule>
  </conditionalFormatting>
  <conditionalFormatting sqref="A4:C4">
    <cfRule type="cellIs" dxfId="1" priority="3" operator="greaterThan">
      <formula>0</formula>
    </cfRule>
  </conditionalFormatting>
  <conditionalFormatting sqref="A4:C4">
    <cfRule type="cellIs" dxfId="0" priority="4" operator="lessThan">
      <formula>0</formula>
    </cfRule>
  </conditionalFormatting>
  <conditionalFormatting sqref="D4">
    <cfRule type="cellIs" dxfId="1" priority="5" operator="greaterThanOrEqual">
      <formula>0</formula>
    </cfRule>
  </conditionalFormatting>
  <conditionalFormatting sqref="L7:M34">
    <cfRule type="cellIs" dxfId="1" priority="6" operator="greaterThan">
      <formula>0</formula>
    </cfRule>
  </conditionalFormatting>
  <conditionalFormatting sqref="L7:M34">
    <cfRule type="cellIs" dxfId="0" priority="7" operator="lessThan">
      <formula>0</formula>
    </cfRule>
  </conditionalFormatting>
  <conditionalFormatting sqref="G4">
    <cfRule type="cellIs" dxfId="1" priority="8" operator="greaterThan">
      <formula>0</formula>
    </cfRule>
  </conditionalFormatting>
  <conditionalFormatting sqref="G4">
    <cfRule type="cellIs" dxfId="0" priority="9" operator="lessThan">
      <formula>0</formula>
    </cfRule>
  </conditionalFormatting>
  <conditionalFormatting sqref="B2">
    <cfRule type="expression" dxfId="1" priority="10">
      <formula>IF(B17="SPY", (FÓRMULA_ACTUAL_DE_SUMA) * 3, FÓRMULA_ACTUAL_DE_SUMA)</formula>
    </cfRule>
  </conditionalFormatting>
  <conditionalFormatting sqref="D4">
    <cfRule type="cellIs" dxfId="0" priority="11" operator="lessThan">
      <formula>0</formula>
    </cfRule>
  </conditionalFormatting>
  <conditionalFormatting sqref="F4">
    <cfRule type="notContainsBlanks" dxfId="2" priority="12">
      <formula>LEN(TRIM(F4))&gt;0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0" max="10" width="14.5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3" t="s">
        <v>5</v>
      </c>
      <c r="F1" s="3" t="s">
        <v>7</v>
      </c>
      <c r="G1" s="6" t="s">
        <v>8</v>
      </c>
      <c r="H1" s="8" t="s">
        <v>9</v>
      </c>
      <c r="I1" s="8" t="s">
        <v>11</v>
      </c>
      <c r="J1" s="8" t="s">
        <v>12</v>
      </c>
      <c r="K1" s="10" t="s">
        <v>13</v>
      </c>
      <c r="L1" s="3" t="s">
        <v>15</v>
      </c>
      <c r="M1" s="3" t="s">
        <v>17</v>
      </c>
      <c r="N1" s="12" t="s">
        <v>18</v>
      </c>
    </row>
    <row r="2">
      <c r="A2" s="14">
        <v>46100.0</v>
      </c>
      <c r="B2" s="15" t="s">
        <v>21</v>
      </c>
      <c r="C2" s="15" t="s">
        <v>22</v>
      </c>
      <c r="D2" s="15">
        <v>1.0</v>
      </c>
      <c r="E2" s="16">
        <v>8365.0</v>
      </c>
      <c r="F2" s="17">
        <f t="shared" ref="F2:F7" si="1">E2*D2</f>
        <v>8365</v>
      </c>
      <c r="G2" s="16">
        <v>57.2</v>
      </c>
      <c r="H2" s="17">
        <f t="shared" ref="H2:H5" si="2">F2+G2</f>
        <v>8422.2</v>
      </c>
      <c r="I2" s="16">
        <v>1420.0</v>
      </c>
      <c r="J2" s="21">
        <f t="shared" ref="J2:J7" si="3">H2/$I$2</f>
        <v>5.931126761</v>
      </c>
      <c r="K2" s="16">
        <v>9300.0</v>
      </c>
      <c r="L2" s="17">
        <f t="shared" ref="L2:L5" si="4">K2*D2</f>
        <v>9300</v>
      </c>
      <c r="M2" s="17">
        <f t="shared" ref="M2:M7" si="5">L2-H2</f>
        <v>877.8</v>
      </c>
      <c r="N2" s="19">
        <f t="shared" ref="N2:N7" si="6">IF(F2&gt;0,M2/F2,0)</f>
        <v>0.1049372385</v>
      </c>
    </row>
    <row r="3">
      <c r="A3" s="14">
        <v>46120.0</v>
      </c>
      <c r="B3" s="15" t="s">
        <v>23</v>
      </c>
      <c r="C3" s="15" t="s">
        <v>22</v>
      </c>
      <c r="D3" s="15">
        <v>50.004</v>
      </c>
      <c r="E3" s="16">
        <v>10999.005</v>
      </c>
      <c r="F3" s="17">
        <f t="shared" si="1"/>
        <v>549994.246</v>
      </c>
      <c r="G3" s="16">
        <v>5.75</v>
      </c>
      <c r="H3" s="17">
        <f t="shared" si="2"/>
        <v>549999.996</v>
      </c>
      <c r="I3" s="25">
        <v>1415.0</v>
      </c>
      <c r="J3" s="21">
        <f t="shared" si="3"/>
        <v>387.3239409</v>
      </c>
      <c r="K3" s="17" t="str">
        <f>IFERROR(__xludf.DUMMYFUNCTION("VALUE(SUBSTITUTE(IMPORTXML(""https://iol.invertironline.com/titulo/cotizacion/BCBA/"" &amp; ""IOLCAMA"", ""//span[@data-field='UltimoPrecio']""), ""."", "",""))"),"#VALUE!")</f>
        <v>#VALUE!</v>
      </c>
      <c r="L3" s="29" t="str">
        <f t="shared" si="4"/>
        <v>#VALUE!</v>
      </c>
      <c r="M3" s="17" t="str">
        <f t="shared" si="5"/>
        <v>#VALUE!</v>
      </c>
      <c r="N3" s="19" t="str">
        <f t="shared" si="6"/>
        <v>#VALUE!</v>
      </c>
    </row>
    <row r="4">
      <c r="A4" s="14">
        <v>46127.0</v>
      </c>
      <c r="B4" s="15" t="s">
        <v>23</v>
      </c>
      <c r="C4" s="15" t="s">
        <v>36</v>
      </c>
      <c r="D4" s="15">
        <v>-4.0</v>
      </c>
      <c r="E4" s="16">
        <v>11049.45</v>
      </c>
      <c r="F4" s="17">
        <f t="shared" si="1"/>
        <v>-44197.8</v>
      </c>
      <c r="G4" s="16">
        <v>5.75</v>
      </c>
      <c r="H4" s="17">
        <f t="shared" si="2"/>
        <v>-44192.05</v>
      </c>
      <c r="I4" s="25">
        <v>1415.0</v>
      </c>
      <c r="J4" s="21">
        <f t="shared" si="3"/>
        <v>-31.12116197</v>
      </c>
      <c r="K4" s="17" t="str">
        <f>IFERROR(__xludf.DUMMYFUNCTION("VALUE(SUBSTITUTE(IMPORTXML(""https://iol.invertironline.com/titulo/cotizacion/BCBA/"" &amp; ""IOLCAMA"", ""//span[@data-field='UltimoPrecio']""), ""."", "",""))"),"#VALUE!")</f>
        <v>#VALUE!</v>
      </c>
      <c r="L4" s="29" t="str">
        <f t="shared" si="4"/>
        <v>#VALUE!</v>
      </c>
      <c r="M4" s="17" t="str">
        <f t="shared" si="5"/>
        <v>#VALUE!</v>
      </c>
      <c r="N4" s="19">
        <f t="shared" si="6"/>
        <v>0</v>
      </c>
    </row>
    <row r="5">
      <c r="A5" s="14">
        <v>46128.0</v>
      </c>
      <c r="B5" s="15" t="s">
        <v>23</v>
      </c>
      <c r="C5" s="15" t="s">
        <v>36</v>
      </c>
      <c r="D5" s="15">
        <v>-9.0</v>
      </c>
      <c r="E5" s="16">
        <v>11049.45</v>
      </c>
      <c r="F5" s="17">
        <f t="shared" si="1"/>
        <v>-99445.05</v>
      </c>
      <c r="G5" s="16">
        <v>5.75</v>
      </c>
      <c r="H5" s="17">
        <f t="shared" si="2"/>
        <v>-99439.3</v>
      </c>
      <c r="I5" s="25">
        <v>1415.0</v>
      </c>
      <c r="J5" s="21">
        <f t="shared" si="3"/>
        <v>-70.02767606</v>
      </c>
      <c r="K5" s="17" t="str">
        <f>IFERROR(__xludf.DUMMYFUNCTION("VALUE(SUBSTITUTE(IMPORTXML(""https://iol.invertironline.com/titulo/cotizacion/BCBA/"" &amp; ""IOLCAMA"", ""//span[@data-field='UltimoPrecio']""), ""."", "",""))"),"#VALUE!")</f>
        <v>#VALUE!</v>
      </c>
      <c r="L5" s="29" t="str">
        <f t="shared" si="4"/>
        <v>#VALUE!</v>
      </c>
      <c r="M5" s="17" t="str">
        <f t="shared" si="5"/>
        <v>#VALUE!</v>
      </c>
      <c r="N5" s="19">
        <f t="shared" si="6"/>
        <v>0</v>
      </c>
    </row>
    <row r="6">
      <c r="A6" s="14">
        <v>46157.0</v>
      </c>
      <c r="B6" s="15" t="s">
        <v>21</v>
      </c>
      <c r="C6" s="15" t="s">
        <v>36</v>
      </c>
      <c r="D6" s="15">
        <v>-1.0</v>
      </c>
      <c r="E6" s="16">
        <v>8520.0</v>
      </c>
      <c r="F6" s="17">
        <f t="shared" si="1"/>
        <v>-8520</v>
      </c>
      <c r="G6" s="16">
        <v>5.75</v>
      </c>
      <c r="H6" s="16">
        <v>59.0</v>
      </c>
      <c r="I6" s="25">
        <v>1415.0</v>
      </c>
      <c r="J6" s="21">
        <f t="shared" si="3"/>
        <v>0.04154929577</v>
      </c>
      <c r="K6" s="16">
        <v>8500.0</v>
      </c>
      <c r="L6" s="15">
        <v>8500.0</v>
      </c>
      <c r="M6" s="17">
        <f t="shared" si="5"/>
        <v>8441</v>
      </c>
      <c r="N6" s="19">
        <f t="shared" si="6"/>
        <v>0</v>
      </c>
    </row>
    <row r="7">
      <c r="A7" s="14">
        <v>46231.0</v>
      </c>
      <c r="B7" s="15" t="s">
        <v>37</v>
      </c>
      <c r="C7" s="15" t="s">
        <v>22</v>
      </c>
      <c r="D7" s="15">
        <v>414.175</v>
      </c>
      <c r="E7" s="16">
        <v>1.09</v>
      </c>
      <c r="F7" s="17">
        <f t="shared" si="1"/>
        <v>451.45075</v>
      </c>
      <c r="G7" s="16">
        <v>5.75</v>
      </c>
      <c r="H7" s="17">
        <f>F7+G7</f>
        <v>457.20075</v>
      </c>
      <c r="I7" s="25">
        <v>1415.0</v>
      </c>
      <c r="J7" s="21">
        <f t="shared" si="3"/>
        <v>0.3219723592</v>
      </c>
      <c r="K7" s="17" t="str">
        <f>IFERROR(__xludf.DUMMYFUNCTION("VALUE(SUBSTITUTE(IMPORTXML(""https://iol.invertironline.com/titulo/cotizacion/BCBA/"" &amp; ""IOLCAMA"", ""//span[@data-field='UltimoPrecio']""), ""."", "",""))"),"#VALUE!")</f>
        <v>#VALUE!</v>
      </c>
      <c r="L7" s="29" t="str">
        <f>K7*D7</f>
        <v>#VALUE!</v>
      </c>
      <c r="M7" s="17" t="str">
        <f t="shared" si="5"/>
        <v>#VALUE!</v>
      </c>
      <c r="N7" s="19" t="str">
        <f t="shared" si="6"/>
        <v>#VALUE!</v>
      </c>
    </row>
  </sheetData>
  <conditionalFormatting sqref="N1">
    <cfRule type="cellIs" dxfId="0" priority="1" operator="lessThan">
      <formula>0</formula>
    </cfRule>
  </conditionalFormatting>
  <conditionalFormatting sqref="N1">
    <cfRule type="cellIs" dxfId="1" priority="2" operator="greater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5"/>
    <col customWidth="1" min="2" max="2" width="9.25"/>
    <col customWidth="1" min="3" max="3" width="8.63"/>
    <col customWidth="1" min="4" max="4" width="8.38"/>
    <col customWidth="1" min="5" max="5" width="13.25"/>
    <col customWidth="1" min="6" max="6" width="11.25"/>
    <col customWidth="1" min="7" max="7" width="11.75"/>
    <col customWidth="1" min="8" max="8" width="11.25"/>
    <col customWidth="1" min="9" max="9" width="14.0"/>
    <col customWidth="1" min="10" max="10" width="14.5"/>
    <col customWidth="1" min="11" max="11" width="12.25"/>
    <col customWidth="1" min="12" max="12" width="11.63"/>
    <col customWidth="1" min="13" max="13" width="14.25"/>
    <col customWidth="1" min="14" max="14" width="13.38"/>
    <col customWidth="1" min="15" max="15" width="11.0"/>
    <col customWidth="1" min="16" max="29" width="7.63"/>
  </cols>
  <sheetData>
    <row r="1">
      <c r="A1" s="31" t="s">
        <v>1</v>
      </c>
      <c r="B1" s="31" t="s">
        <v>2</v>
      </c>
      <c r="C1" s="31" t="s">
        <v>3</v>
      </c>
      <c r="D1" s="31" t="s">
        <v>4</v>
      </c>
      <c r="E1" s="33" t="s">
        <v>5</v>
      </c>
      <c r="F1" s="33" t="s">
        <v>7</v>
      </c>
      <c r="G1" s="6" t="s">
        <v>8</v>
      </c>
      <c r="H1" s="8" t="s">
        <v>9</v>
      </c>
      <c r="I1" s="8" t="s">
        <v>11</v>
      </c>
      <c r="J1" s="8" t="s">
        <v>12</v>
      </c>
      <c r="K1" s="34" t="s">
        <v>13</v>
      </c>
      <c r="L1" s="33" t="s">
        <v>15</v>
      </c>
      <c r="M1" s="33" t="s">
        <v>17</v>
      </c>
      <c r="N1" s="35" t="s">
        <v>18</v>
      </c>
    </row>
    <row r="2">
      <c r="A2" s="36">
        <v>46048.0</v>
      </c>
      <c r="B2" s="15" t="s">
        <v>35</v>
      </c>
      <c r="C2" s="15" t="s">
        <v>22</v>
      </c>
      <c r="D2" s="15">
        <v>11.0</v>
      </c>
      <c r="E2" s="16">
        <v>10440.0</v>
      </c>
      <c r="F2" s="17">
        <f t="shared" ref="F2:F22" si="1">D2*E2+G2</f>
        <v>115534.782</v>
      </c>
      <c r="G2" s="17">
        <f>D2*E2*0.00605</f>
        <v>694.782</v>
      </c>
      <c r="H2" s="16">
        <f t="shared" ref="H2:H65" si="2">F2+G2</f>
        <v>116229.564</v>
      </c>
      <c r="I2" s="38">
        <v>1469.0</v>
      </c>
      <c r="J2" s="40">
        <f t="shared" ref="J2:J28" si="3">H2/I2</f>
        <v>79.1215548</v>
      </c>
      <c r="K2" s="41">
        <f>IFERROR(__xludf.DUMMYFUNCTION("IFERROR(GOOGLEFINANCE(""BCBA:"" &amp; B2, ""price""), GOOGLEFINANCE(B2, ""price""))"),8575.0)</f>
        <v>8575</v>
      </c>
      <c r="L2" s="17">
        <f>K2*D2</f>
        <v>94325</v>
      </c>
      <c r="M2" s="17">
        <f t="shared" ref="M2:M22" si="4">L2-H2</f>
        <v>-21904.564</v>
      </c>
      <c r="N2" s="19">
        <f t="shared" ref="N2:N65" si="5">IF(F2&gt;0,M2/F2,0)</f>
        <v>-0.1895928102</v>
      </c>
    </row>
    <row r="3">
      <c r="A3" s="36">
        <v>46048.0</v>
      </c>
      <c r="B3" s="15" t="s">
        <v>40</v>
      </c>
      <c r="C3" s="15" t="s">
        <v>22</v>
      </c>
      <c r="D3" s="15">
        <v>7.0</v>
      </c>
      <c r="E3" s="16">
        <v>27560.0</v>
      </c>
      <c r="F3" s="17">
        <f t="shared" si="1"/>
        <v>194299.4</v>
      </c>
      <c r="G3" s="16">
        <v>1379.4</v>
      </c>
      <c r="H3" s="16">
        <f t="shared" si="2"/>
        <v>195678.8</v>
      </c>
      <c r="I3" s="38">
        <v>1469.0</v>
      </c>
      <c r="J3" s="40">
        <f t="shared" si="3"/>
        <v>133.2054459</v>
      </c>
      <c r="K3" s="41">
        <f>IFERROR(__xludf.DUMMYFUNCTION("IFERROR(GOOGLEFINANCE(""BCBA:"" &amp; B3, ""price""), GOOGLEFINANCE(B3, ""price""))"),23260.0)</f>
        <v>23260</v>
      </c>
      <c r="L3" s="17">
        <f t="shared" ref="L3:L65" si="6">D3*K3</f>
        <v>162820</v>
      </c>
      <c r="M3" s="17">
        <f t="shared" si="4"/>
        <v>-32858.8</v>
      </c>
      <c r="N3" s="19">
        <f t="shared" si="5"/>
        <v>-0.1691142639</v>
      </c>
    </row>
    <row r="4">
      <c r="A4" s="36">
        <v>46048.0</v>
      </c>
      <c r="B4" s="15" t="s">
        <v>43</v>
      </c>
      <c r="C4" s="15" t="s">
        <v>22</v>
      </c>
      <c r="D4" s="15">
        <v>20.0</v>
      </c>
      <c r="E4" s="16">
        <v>11810.0</v>
      </c>
      <c r="F4" s="17">
        <f t="shared" si="1"/>
        <v>237829.07</v>
      </c>
      <c r="G4" s="16">
        <v>1629.07</v>
      </c>
      <c r="H4" s="16">
        <f t="shared" si="2"/>
        <v>239458.14</v>
      </c>
      <c r="I4" s="38">
        <v>1469.0</v>
      </c>
      <c r="J4" s="40">
        <f t="shared" si="3"/>
        <v>163.0075834</v>
      </c>
      <c r="K4" s="41">
        <f>IFERROR(__xludf.DUMMYFUNCTION("IFERROR(GOOGLEFINANCE(""BCBA:"" &amp; B4, ""price""), GOOGLEFINANCE(B4, ""price""))"),15260.0)</f>
        <v>15260</v>
      </c>
      <c r="L4" s="17">
        <f t="shared" si="6"/>
        <v>305200</v>
      </c>
      <c r="M4" s="17">
        <f t="shared" si="4"/>
        <v>65741.86</v>
      </c>
      <c r="N4" s="19">
        <f t="shared" si="5"/>
        <v>0.276424829</v>
      </c>
    </row>
    <row r="5">
      <c r="A5" s="36">
        <v>46048.0</v>
      </c>
      <c r="B5" s="15" t="s">
        <v>44</v>
      </c>
      <c r="C5" s="15" t="s">
        <v>22</v>
      </c>
      <c r="D5" s="15">
        <v>28.0</v>
      </c>
      <c r="E5" s="16">
        <v>5155.0</v>
      </c>
      <c r="F5" s="17">
        <f t="shared" si="1"/>
        <v>145335.52</v>
      </c>
      <c r="G5" s="16">
        <v>995.52</v>
      </c>
      <c r="H5" s="16">
        <f t="shared" si="2"/>
        <v>146331.04</v>
      </c>
      <c r="I5" s="38">
        <v>1469.0</v>
      </c>
      <c r="J5" s="40">
        <f t="shared" si="3"/>
        <v>99.6126889</v>
      </c>
      <c r="K5" s="41">
        <f>IFERROR(__xludf.DUMMYFUNCTION("IFERROR(GOOGLEFINANCE(""BCBA:"" &amp; B5, ""price""), GOOGLEFINANCE(B5, ""price""))"),4965.0)</f>
        <v>4965</v>
      </c>
      <c r="L5" s="17">
        <f t="shared" si="6"/>
        <v>139020</v>
      </c>
      <c r="M5" s="17">
        <f t="shared" si="4"/>
        <v>-7311.04</v>
      </c>
      <c r="N5" s="19">
        <f t="shared" si="5"/>
        <v>-0.05030456422</v>
      </c>
    </row>
    <row r="6">
      <c r="A6" s="36">
        <v>46048.0</v>
      </c>
      <c r="B6" s="15" t="s">
        <v>45</v>
      </c>
      <c r="C6" s="15" t="s">
        <v>46</v>
      </c>
      <c r="D6" s="15">
        <v>26.0</v>
      </c>
      <c r="E6" s="16">
        <v>5580.0</v>
      </c>
      <c r="F6" s="17">
        <f t="shared" si="1"/>
        <v>146080.62</v>
      </c>
      <c r="G6" s="16">
        <v>1000.62</v>
      </c>
      <c r="H6" s="16">
        <f t="shared" si="2"/>
        <v>147081.24</v>
      </c>
      <c r="I6" s="38">
        <v>1469.0</v>
      </c>
      <c r="J6" s="40">
        <f t="shared" si="3"/>
        <v>100.1233764</v>
      </c>
      <c r="K6" s="41">
        <f>IFERROR(__xludf.DUMMYFUNCTION("IFERROR(GOOGLEFINANCE(""BCBA:"" &amp; B6, ""price""), GOOGLEFINANCE(B6, ""price""))"),12320.0)</f>
        <v>12320</v>
      </c>
      <c r="L6" s="17">
        <f t="shared" si="6"/>
        <v>320320</v>
      </c>
      <c r="M6" s="17">
        <f t="shared" si="4"/>
        <v>173238.76</v>
      </c>
      <c r="N6" s="19">
        <f t="shared" si="5"/>
        <v>1.185911998</v>
      </c>
    </row>
    <row r="7">
      <c r="A7" s="36">
        <v>46048.0</v>
      </c>
      <c r="B7" s="15" t="s">
        <v>48</v>
      </c>
      <c r="C7" s="15" t="s">
        <v>22</v>
      </c>
      <c r="D7" s="15">
        <v>4.0</v>
      </c>
      <c r="E7" s="16">
        <v>42260.0</v>
      </c>
      <c r="F7" s="17">
        <f t="shared" si="1"/>
        <v>170205.87</v>
      </c>
      <c r="G7" s="16">
        <v>1165.87</v>
      </c>
      <c r="H7" s="16">
        <f t="shared" si="2"/>
        <v>171371.74</v>
      </c>
      <c r="I7" s="38">
        <v>1469.0</v>
      </c>
      <c r="J7" s="40">
        <f t="shared" si="3"/>
        <v>116.6587747</v>
      </c>
      <c r="K7" s="41">
        <f>IFERROR(__xludf.DUMMYFUNCTION("IFERROR(GOOGLEFINANCE(""BCBA:"" &amp; B7, ""price""), GOOGLEFINANCE(B7, ""price""))"),49700.0)</f>
        <v>49700</v>
      </c>
      <c r="L7" s="17">
        <f t="shared" si="6"/>
        <v>198800</v>
      </c>
      <c r="M7" s="17">
        <f t="shared" si="4"/>
        <v>27428.26</v>
      </c>
      <c r="N7" s="19">
        <f t="shared" si="5"/>
        <v>0.1611475562</v>
      </c>
    </row>
    <row r="8">
      <c r="A8" s="36">
        <v>46048.0</v>
      </c>
      <c r="B8" s="15" t="s">
        <v>49</v>
      </c>
      <c r="C8" s="15" t="s">
        <v>22</v>
      </c>
      <c r="D8" s="15">
        <v>10.0</v>
      </c>
      <c r="E8" s="16">
        <v>23750.0</v>
      </c>
      <c r="F8" s="17">
        <f t="shared" si="1"/>
        <v>239138.04</v>
      </c>
      <c r="G8" s="16">
        <v>1638.04</v>
      </c>
      <c r="H8" s="16">
        <f t="shared" si="2"/>
        <v>240776.08</v>
      </c>
      <c r="I8" s="38">
        <v>1469.0</v>
      </c>
      <c r="J8" s="40">
        <f t="shared" si="3"/>
        <v>163.9047515</v>
      </c>
      <c r="K8" s="41">
        <f>IFERROR(__xludf.DUMMYFUNCTION("IFERROR(GOOGLEFINANCE(""BCBA:"" &amp; B8, ""price""), GOOGLEFINANCE(B8, ""price""))"),27260.0)</f>
        <v>27260</v>
      </c>
      <c r="L8" s="17">
        <f t="shared" si="6"/>
        <v>272600</v>
      </c>
      <c r="M8" s="17">
        <f t="shared" si="4"/>
        <v>31823.92</v>
      </c>
      <c r="N8" s="19">
        <f t="shared" si="5"/>
        <v>0.1330776149</v>
      </c>
    </row>
    <row r="9">
      <c r="A9" s="36">
        <v>46048.0</v>
      </c>
      <c r="B9" s="15" t="s">
        <v>50</v>
      </c>
      <c r="C9" s="15" t="s">
        <v>22</v>
      </c>
      <c r="D9" s="15">
        <v>3.0</v>
      </c>
      <c r="E9" s="16">
        <v>27800.0</v>
      </c>
      <c r="F9" s="17">
        <f t="shared" si="1"/>
        <v>83975.21</v>
      </c>
      <c r="G9" s="16">
        <v>575.21</v>
      </c>
      <c r="H9" s="16">
        <f t="shared" si="2"/>
        <v>84550.42</v>
      </c>
      <c r="I9" s="38">
        <v>1469.0</v>
      </c>
      <c r="J9" s="40">
        <f t="shared" si="3"/>
        <v>57.55644656</v>
      </c>
      <c r="K9" s="41">
        <f>IFERROR(__xludf.DUMMYFUNCTION("IFERROR(GOOGLEFINANCE(""BCBA:"" &amp; B9, ""price""), GOOGLEFINANCE(B9, ""price""))"),29440.0)</f>
        <v>29440</v>
      </c>
      <c r="L9" s="17">
        <f t="shared" si="6"/>
        <v>88320</v>
      </c>
      <c r="M9" s="17">
        <f t="shared" si="4"/>
        <v>3769.58</v>
      </c>
      <c r="N9" s="19">
        <f t="shared" si="5"/>
        <v>0.04488920004</v>
      </c>
    </row>
    <row r="10">
      <c r="A10" s="36">
        <v>46048.0</v>
      </c>
      <c r="B10" s="15" t="s">
        <v>51</v>
      </c>
      <c r="C10" s="15" t="s">
        <v>22</v>
      </c>
      <c r="D10" s="15">
        <v>10.0</v>
      </c>
      <c r="E10" s="16">
        <v>13780.0</v>
      </c>
      <c r="F10" s="17">
        <f t="shared" si="1"/>
        <v>138750.41</v>
      </c>
      <c r="G10" s="16">
        <v>950.41</v>
      </c>
      <c r="H10" s="16">
        <f t="shared" si="2"/>
        <v>139700.82</v>
      </c>
      <c r="I10" s="38">
        <v>1469.0</v>
      </c>
      <c r="J10" s="40">
        <f t="shared" si="3"/>
        <v>95.09926481</v>
      </c>
      <c r="K10" s="41">
        <f>IFERROR(__xludf.DUMMYFUNCTION("IFERROR(GOOGLEFINANCE(""BCBA:"" &amp; B10, ""price""), GOOGLEFINANCE(B10, ""price""))"),10010.0)</f>
        <v>10010</v>
      </c>
      <c r="L10" s="17">
        <f t="shared" si="6"/>
        <v>100100</v>
      </c>
      <c r="M10" s="17">
        <f t="shared" si="4"/>
        <v>-39600.82</v>
      </c>
      <c r="N10" s="19">
        <f t="shared" si="5"/>
        <v>-0.2854104719</v>
      </c>
    </row>
    <row r="11">
      <c r="A11" s="36">
        <v>46048.0</v>
      </c>
      <c r="B11" s="15" t="s">
        <v>39</v>
      </c>
      <c r="C11" s="15" t="s">
        <v>46</v>
      </c>
      <c r="D11" s="15">
        <v>6.0</v>
      </c>
      <c r="E11" s="16">
        <v>15090.0</v>
      </c>
      <c r="F11" s="17">
        <f t="shared" si="1"/>
        <v>91164.46</v>
      </c>
      <c r="G11" s="16">
        <v>624.46</v>
      </c>
      <c r="H11" s="16">
        <f t="shared" si="2"/>
        <v>91788.92</v>
      </c>
      <c r="I11" s="38">
        <v>1469.0</v>
      </c>
      <c r="J11" s="40">
        <f t="shared" si="3"/>
        <v>62.48394826</v>
      </c>
      <c r="K11" s="41">
        <f>IFERROR(__xludf.DUMMYFUNCTION("IFERROR(GOOGLEFINANCE(""BCBA:"" &amp; B11, ""price""), GOOGLEFINANCE(B11, ""price""))"),10690.0)</f>
        <v>10690</v>
      </c>
      <c r="L11" s="17">
        <f t="shared" si="6"/>
        <v>64140</v>
      </c>
      <c r="M11" s="17">
        <f t="shared" si="4"/>
        <v>-27648.92</v>
      </c>
      <c r="N11" s="19">
        <f t="shared" si="5"/>
        <v>-0.3032861709</v>
      </c>
    </row>
    <row r="12">
      <c r="A12" s="36">
        <v>46048.0</v>
      </c>
      <c r="B12" s="15" t="s">
        <v>52</v>
      </c>
      <c r="C12" s="15" t="s">
        <v>22</v>
      </c>
      <c r="D12" s="15">
        <v>6.0</v>
      </c>
      <c r="E12" s="16">
        <v>27160.0</v>
      </c>
      <c r="F12" s="17">
        <f t="shared" si="1"/>
        <v>164083.94</v>
      </c>
      <c r="G12" s="16">
        <v>1123.94</v>
      </c>
      <c r="H12" s="16">
        <f t="shared" si="2"/>
        <v>165207.88</v>
      </c>
      <c r="I12" s="38">
        <v>1469.0</v>
      </c>
      <c r="J12" s="40">
        <f t="shared" si="3"/>
        <v>112.4628182</v>
      </c>
      <c r="K12" s="41">
        <f>IFERROR(__xludf.DUMMYFUNCTION("IFERROR(GOOGLEFINANCE(""BCBA:"" &amp; B12, ""price""), GOOGLEFINANCE(B12, ""price""))"),36000.0)</f>
        <v>36000</v>
      </c>
      <c r="L12" s="17">
        <f t="shared" si="6"/>
        <v>216000</v>
      </c>
      <c r="M12" s="17">
        <f t="shared" si="4"/>
        <v>50792.12</v>
      </c>
      <c r="N12" s="19">
        <f t="shared" si="5"/>
        <v>0.3095496122</v>
      </c>
    </row>
    <row r="13">
      <c r="A13" s="36">
        <v>46048.0</v>
      </c>
      <c r="B13" s="15" t="s">
        <v>42</v>
      </c>
      <c r="C13" s="15" t="s">
        <v>22</v>
      </c>
      <c r="D13" s="15">
        <v>28.0</v>
      </c>
      <c r="E13" s="16">
        <v>7560.0</v>
      </c>
      <c r="F13" s="17">
        <f t="shared" si="1"/>
        <v>213139.96</v>
      </c>
      <c r="G13" s="16">
        <v>1459.96</v>
      </c>
      <c r="H13" s="16">
        <f t="shared" si="2"/>
        <v>214599.92</v>
      </c>
      <c r="I13" s="38">
        <v>1469.0</v>
      </c>
      <c r="J13" s="40">
        <f t="shared" si="3"/>
        <v>146.0857182</v>
      </c>
      <c r="K13" s="41">
        <f>IFERROR(__xludf.DUMMYFUNCTION("IFERROR(GOOGLEFINANCE(""BCBA:"" &amp; B13, ""price""), GOOGLEFINANCE(B13, ""price""))"),7655.0)</f>
        <v>7655</v>
      </c>
      <c r="L13" s="17">
        <f t="shared" si="6"/>
        <v>214340</v>
      </c>
      <c r="M13" s="17">
        <f t="shared" si="4"/>
        <v>-259.92</v>
      </c>
      <c r="N13" s="19">
        <f t="shared" si="5"/>
        <v>-0.001219480383</v>
      </c>
    </row>
    <row r="14">
      <c r="A14" s="36">
        <v>46048.0</v>
      </c>
      <c r="B14" s="15" t="s">
        <v>54</v>
      </c>
      <c r="C14" s="15" t="s">
        <v>22</v>
      </c>
      <c r="D14" s="15">
        <v>1.0</v>
      </c>
      <c r="E14" s="16">
        <v>118350.0</v>
      </c>
      <c r="F14" s="17">
        <f t="shared" si="1"/>
        <v>119166.27</v>
      </c>
      <c r="G14" s="16">
        <v>816.27</v>
      </c>
      <c r="H14" s="16">
        <f t="shared" si="2"/>
        <v>119982.54</v>
      </c>
      <c r="I14" s="38">
        <v>1469.0</v>
      </c>
      <c r="J14" s="40">
        <f t="shared" si="3"/>
        <v>81.67633764</v>
      </c>
      <c r="K14" s="41">
        <f>IFERROR(__xludf.DUMMYFUNCTION("IFERROR(GOOGLEFINANCE(""BCBA:"" &amp; B14, ""price""), GOOGLEFINANCE(B14, ""price""))"),344500.0)</f>
        <v>344500</v>
      </c>
      <c r="L14" s="17">
        <f t="shared" si="6"/>
        <v>344500</v>
      </c>
      <c r="M14" s="17">
        <f t="shared" si="4"/>
        <v>224517.46</v>
      </c>
      <c r="N14" s="19">
        <f t="shared" si="5"/>
        <v>1.884068873</v>
      </c>
    </row>
    <row r="15">
      <c r="A15" s="36">
        <v>46048.0</v>
      </c>
      <c r="B15" s="15" t="s">
        <v>55</v>
      </c>
      <c r="C15" s="15" t="s">
        <v>22</v>
      </c>
      <c r="D15" s="15">
        <v>21.0</v>
      </c>
      <c r="E15" s="16">
        <v>17500.0</v>
      </c>
      <c r="F15" s="17">
        <f t="shared" si="1"/>
        <v>370034.65</v>
      </c>
      <c r="G15" s="16">
        <v>2534.65</v>
      </c>
      <c r="H15" s="16">
        <f t="shared" si="2"/>
        <v>372569.3</v>
      </c>
      <c r="I15" s="38">
        <v>1469.0</v>
      </c>
      <c r="J15" s="40">
        <f t="shared" si="3"/>
        <v>253.6210347</v>
      </c>
      <c r="K15" s="41">
        <f>IFERROR(__xludf.DUMMYFUNCTION("IFERROR(GOOGLEFINANCE(""BCBA:"" &amp; B15, ""price""), GOOGLEFINANCE(B15, ""price""))"),20600.0)</f>
        <v>20600</v>
      </c>
      <c r="L15" s="17">
        <f t="shared" si="6"/>
        <v>432600</v>
      </c>
      <c r="M15" s="17">
        <f t="shared" si="4"/>
        <v>60030.7</v>
      </c>
      <c r="N15" s="19">
        <f t="shared" si="5"/>
        <v>0.1622299425</v>
      </c>
    </row>
    <row r="16">
      <c r="A16" s="36">
        <v>46049.0</v>
      </c>
      <c r="B16" s="15" t="s">
        <v>43</v>
      </c>
      <c r="C16" s="15" t="s">
        <v>46</v>
      </c>
      <c r="D16" s="15">
        <v>5.0</v>
      </c>
      <c r="E16" s="16">
        <v>11860.0</v>
      </c>
      <c r="F16" s="17">
        <f t="shared" si="1"/>
        <v>59709</v>
      </c>
      <c r="G16" s="16">
        <v>409.0</v>
      </c>
      <c r="H16" s="16">
        <f t="shared" si="2"/>
        <v>60118</v>
      </c>
      <c r="I16" s="38">
        <v>1470.0</v>
      </c>
      <c r="J16" s="40">
        <f t="shared" si="3"/>
        <v>40.89659864</v>
      </c>
      <c r="K16" s="41">
        <f>IFERROR(__xludf.DUMMYFUNCTION("IFERROR(GOOGLEFINANCE(""BCBA:"" &amp; B16, ""price""), GOOGLEFINANCE(B16, ""price""))"),15260.0)</f>
        <v>15260</v>
      </c>
      <c r="L16" s="17">
        <f t="shared" si="6"/>
        <v>76300</v>
      </c>
      <c r="M16" s="17">
        <f t="shared" si="4"/>
        <v>16182</v>
      </c>
      <c r="N16" s="19">
        <f t="shared" si="5"/>
        <v>0.2710144199</v>
      </c>
    </row>
    <row r="17">
      <c r="A17" s="36">
        <v>46056.0</v>
      </c>
      <c r="B17" s="15" t="s">
        <v>49</v>
      </c>
      <c r="C17" s="15" t="s">
        <v>22</v>
      </c>
      <c r="D17" s="15">
        <v>17.0</v>
      </c>
      <c r="E17" s="16">
        <v>20590.0</v>
      </c>
      <c r="F17" s="17">
        <f t="shared" si="1"/>
        <v>352444.15</v>
      </c>
      <c r="G17" s="16">
        <v>2414.15</v>
      </c>
      <c r="H17" s="16">
        <f t="shared" si="2"/>
        <v>354858.3</v>
      </c>
      <c r="I17" s="38">
        <v>1460.0</v>
      </c>
      <c r="J17" s="40">
        <f t="shared" si="3"/>
        <v>243.0536301</v>
      </c>
      <c r="K17" s="41">
        <f>IFERROR(__xludf.DUMMYFUNCTION("IFERROR(GOOGLEFINANCE(""BCBA:"" &amp; B17, ""price""), GOOGLEFINANCE(B17, ""price""))"),27260.0)</f>
        <v>27260</v>
      </c>
      <c r="L17" s="17">
        <f t="shared" si="6"/>
        <v>463420</v>
      </c>
      <c r="M17" s="17">
        <f t="shared" si="4"/>
        <v>108561.7</v>
      </c>
      <c r="N17" s="19">
        <f t="shared" si="5"/>
        <v>0.3080252573</v>
      </c>
    </row>
    <row r="18">
      <c r="A18" s="36">
        <v>46056.0</v>
      </c>
      <c r="B18" s="15" t="s">
        <v>52</v>
      </c>
      <c r="C18" s="15" t="s">
        <v>22</v>
      </c>
      <c r="D18" s="15">
        <v>7.0</v>
      </c>
      <c r="E18" s="16">
        <v>27580.0</v>
      </c>
      <c r="F18" s="17">
        <f t="shared" si="1"/>
        <v>194391.53</v>
      </c>
      <c r="G18" s="16">
        <v>1331.53</v>
      </c>
      <c r="H18" s="16">
        <f t="shared" si="2"/>
        <v>195723.06</v>
      </c>
      <c r="I18" s="38">
        <v>1460.0</v>
      </c>
      <c r="J18" s="40">
        <f t="shared" si="3"/>
        <v>134.0568904</v>
      </c>
      <c r="K18" s="41">
        <f>IFERROR(__xludf.DUMMYFUNCTION("IFERROR(GOOGLEFINANCE(""BCBA:"" &amp; B18, ""price""), GOOGLEFINANCE(B18, ""price""))"),36000.0)</f>
        <v>36000</v>
      </c>
      <c r="L18" s="17">
        <f t="shared" si="6"/>
        <v>252000</v>
      </c>
      <c r="M18" s="17">
        <f t="shared" si="4"/>
        <v>56276.94</v>
      </c>
      <c r="N18" s="19">
        <f t="shared" si="5"/>
        <v>0.2895030457</v>
      </c>
    </row>
    <row r="19">
      <c r="A19" s="36">
        <v>46056.0</v>
      </c>
      <c r="B19" s="15" t="s">
        <v>43</v>
      </c>
      <c r="C19" s="15" t="s">
        <v>22</v>
      </c>
      <c r="D19" s="15">
        <v>7.0</v>
      </c>
      <c r="E19" s="16">
        <v>11250.0</v>
      </c>
      <c r="F19" s="17">
        <f t="shared" si="1"/>
        <v>79293.15</v>
      </c>
      <c r="G19" s="16">
        <v>543.15</v>
      </c>
      <c r="H19" s="16">
        <f t="shared" si="2"/>
        <v>79836.3</v>
      </c>
      <c r="I19" s="38">
        <v>1460.0</v>
      </c>
      <c r="J19" s="40">
        <f t="shared" si="3"/>
        <v>54.68239726</v>
      </c>
      <c r="K19" s="41">
        <f>IFERROR(__xludf.DUMMYFUNCTION("IFERROR(GOOGLEFINANCE(""BCBA:"" &amp; B19, ""price""), GOOGLEFINANCE(B19, ""price""))"),15260.0)</f>
        <v>15260</v>
      </c>
      <c r="L19" s="17">
        <f t="shared" si="6"/>
        <v>106820</v>
      </c>
      <c r="M19" s="17">
        <f t="shared" si="4"/>
        <v>26983.7</v>
      </c>
      <c r="N19" s="19">
        <f t="shared" si="5"/>
        <v>0.34030304</v>
      </c>
    </row>
    <row r="20">
      <c r="A20" s="36">
        <v>46056.0</v>
      </c>
      <c r="B20" s="15" t="s">
        <v>44</v>
      </c>
      <c r="C20" s="15" t="s">
        <v>22</v>
      </c>
      <c r="D20" s="15">
        <v>31.0</v>
      </c>
      <c r="E20" s="16">
        <v>5060.0</v>
      </c>
      <c r="F20" s="17">
        <f t="shared" si="1"/>
        <v>157941.86</v>
      </c>
      <c r="G20" s="16">
        <v>1081.86</v>
      </c>
      <c r="H20" s="16">
        <f t="shared" si="2"/>
        <v>159023.72</v>
      </c>
      <c r="I20" s="38">
        <v>1460.0</v>
      </c>
      <c r="J20" s="40">
        <f t="shared" si="3"/>
        <v>108.9203562</v>
      </c>
      <c r="K20" s="41">
        <f>IFERROR(__xludf.DUMMYFUNCTION("IFERROR(GOOGLEFINANCE(""BCBA:"" &amp; B20, ""price""), GOOGLEFINANCE(B20, ""price""))"),4965.0)</f>
        <v>4965</v>
      </c>
      <c r="L20" s="17">
        <f t="shared" si="6"/>
        <v>153915</v>
      </c>
      <c r="M20" s="17">
        <f t="shared" si="4"/>
        <v>-5108.72</v>
      </c>
      <c r="N20" s="19">
        <f t="shared" si="5"/>
        <v>-0.03234557324</v>
      </c>
    </row>
    <row r="21" ht="15.75" customHeight="1">
      <c r="A21" s="36">
        <v>46056.0</v>
      </c>
      <c r="B21" s="15" t="s">
        <v>45</v>
      </c>
      <c r="C21" s="15" t="s">
        <v>46</v>
      </c>
      <c r="D21" s="15">
        <v>4.0</v>
      </c>
      <c r="E21" s="16">
        <v>4972.5</v>
      </c>
      <c r="F21" s="17">
        <f t="shared" si="1"/>
        <v>20027.17</v>
      </c>
      <c r="G21" s="16">
        <v>137.17</v>
      </c>
      <c r="H21" s="16">
        <f t="shared" si="2"/>
        <v>20164.34</v>
      </c>
      <c r="I21" s="38">
        <v>1460.0</v>
      </c>
      <c r="J21" s="40">
        <f t="shared" si="3"/>
        <v>13.81119178</v>
      </c>
      <c r="K21" s="41">
        <f>IFERROR(__xludf.DUMMYFUNCTION("IFERROR(GOOGLEFINANCE(""BCBA:"" &amp; B21, ""price""), GOOGLEFINANCE(B21, ""price""))"),12320.0)</f>
        <v>12320</v>
      </c>
      <c r="L21" s="17">
        <f t="shared" si="6"/>
        <v>49280</v>
      </c>
      <c r="M21" s="17">
        <f t="shared" si="4"/>
        <v>29115.66</v>
      </c>
      <c r="N21" s="19">
        <f t="shared" si="5"/>
        <v>1.453808002</v>
      </c>
    </row>
    <row r="22" ht="15.75" customHeight="1">
      <c r="A22" s="36">
        <v>46092.0</v>
      </c>
      <c r="B22" s="15" t="s">
        <v>55</v>
      </c>
      <c r="C22" s="15" t="s">
        <v>22</v>
      </c>
      <c r="D22" s="15">
        <v>27.0</v>
      </c>
      <c r="E22" s="16">
        <v>16526.7</v>
      </c>
      <c r="F22" s="17">
        <f t="shared" si="1"/>
        <v>449298.47</v>
      </c>
      <c r="G22" s="16">
        <v>3077.57</v>
      </c>
      <c r="H22" s="16">
        <f t="shared" si="2"/>
        <v>452376.04</v>
      </c>
      <c r="I22" s="38">
        <v>1422.0</v>
      </c>
      <c r="J22" s="40">
        <f t="shared" si="3"/>
        <v>318.1266104</v>
      </c>
      <c r="K22" s="41">
        <f>IFERROR(__xludf.DUMMYFUNCTION("IFERROR(GOOGLEFINANCE(""BCBA:"" &amp; B22, ""price""), GOOGLEFINANCE(B22, ""price""))"),20600.0)</f>
        <v>20600</v>
      </c>
      <c r="L22" s="17">
        <f t="shared" si="6"/>
        <v>556200</v>
      </c>
      <c r="M22" s="17">
        <f t="shared" si="4"/>
        <v>103823.96</v>
      </c>
      <c r="N22" s="19">
        <f t="shared" si="5"/>
        <v>0.2310801548</v>
      </c>
    </row>
    <row r="23" ht="15.75" customHeight="1">
      <c r="A23" s="36">
        <v>46098.0</v>
      </c>
      <c r="B23" s="15" t="s">
        <v>52</v>
      </c>
      <c r="C23" s="15" t="s">
        <v>36</v>
      </c>
      <c r="D23" s="15">
        <v>-5.0</v>
      </c>
      <c r="E23" s="16">
        <v>32140.0</v>
      </c>
      <c r="F23" s="17">
        <f t="shared" ref="F23:F65" si="7">D23*E23</f>
        <v>-160700</v>
      </c>
      <c r="G23" s="16">
        <v>1108.05</v>
      </c>
      <c r="H23" s="16">
        <f t="shared" si="2"/>
        <v>-159591.95</v>
      </c>
      <c r="I23" s="38">
        <v>1420.0</v>
      </c>
      <c r="J23" s="40">
        <f t="shared" si="3"/>
        <v>-112.3886972</v>
      </c>
      <c r="K23" s="41">
        <f>IFERROR(__xludf.DUMMYFUNCTION("IFERROR(GOOGLEFINANCE(""BCBA:"" &amp; B23, ""price""), GOOGLEFINANCE(B23, ""price""))"),36000.0)</f>
        <v>36000</v>
      </c>
      <c r="L23" s="17">
        <f t="shared" si="6"/>
        <v>-180000</v>
      </c>
      <c r="M23" s="17">
        <f>(E23- Portafolio!D19) *- D26</f>
        <v>31131.32</v>
      </c>
      <c r="N23" s="19">
        <f t="shared" si="5"/>
        <v>0</v>
      </c>
    </row>
    <row r="24" ht="15.75" customHeight="1">
      <c r="A24" s="36">
        <v>46098.0</v>
      </c>
      <c r="B24" s="15" t="s">
        <v>52</v>
      </c>
      <c r="C24" s="15" t="s">
        <v>22</v>
      </c>
      <c r="D24" s="15">
        <v>4.0</v>
      </c>
      <c r="E24" s="16">
        <v>33130.0</v>
      </c>
      <c r="F24" s="17">
        <f t="shared" si="7"/>
        <v>132520</v>
      </c>
      <c r="G24" s="16">
        <v>112.24</v>
      </c>
      <c r="H24" s="16">
        <f t="shared" si="2"/>
        <v>132632.24</v>
      </c>
      <c r="I24" s="38">
        <v>1420.0</v>
      </c>
      <c r="J24" s="40">
        <f t="shared" si="3"/>
        <v>93.40298592</v>
      </c>
      <c r="K24" s="41">
        <f>IFERROR(__xludf.DUMMYFUNCTION("IFERROR(GOOGLEFINANCE(""BCBA:"" &amp; B24, ""price""), GOOGLEFINANCE(B24, ""price""))"),36000.0)</f>
        <v>36000</v>
      </c>
      <c r="L24" s="17">
        <f t="shared" si="6"/>
        <v>144000</v>
      </c>
      <c r="M24" s="17">
        <f t="shared" ref="M24:M25" si="8">L24-H24</f>
        <v>11367.76</v>
      </c>
      <c r="N24" s="19">
        <f t="shared" si="5"/>
        <v>0.08578146695</v>
      </c>
    </row>
    <row r="25" ht="15.75" customHeight="1">
      <c r="A25" s="36">
        <v>46098.0</v>
      </c>
      <c r="B25" s="15" t="s">
        <v>43</v>
      </c>
      <c r="C25" s="15" t="s">
        <v>22</v>
      </c>
      <c r="D25" s="15">
        <v>2.0</v>
      </c>
      <c r="E25" s="16">
        <v>11250.0</v>
      </c>
      <c r="F25" s="17">
        <f t="shared" si="7"/>
        <v>22500</v>
      </c>
      <c r="G25" s="16">
        <v>155.19</v>
      </c>
      <c r="H25" s="16">
        <f t="shared" si="2"/>
        <v>22655.19</v>
      </c>
      <c r="I25" s="38">
        <v>1420.0</v>
      </c>
      <c r="J25" s="40">
        <f t="shared" si="3"/>
        <v>15.95435915</v>
      </c>
      <c r="K25" s="41">
        <f>IFERROR(__xludf.DUMMYFUNCTION("IFERROR(GOOGLEFINANCE(""BCBA:"" &amp; B25, ""price""), GOOGLEFINANCE(B25, ""price""))"),15260.0)</f>
        <v>15260</v>
      </c>
      <c r="L25" s="17">
        <f t="shared" si="6"/>
        <v>30520</v>
      </c>
      <c r="M25" s="17">
        <f t="shared" si="8"/>
        <v>7864.81</v>
      </c>
      <c r="N25" s="19">
        <f t="shared" si="5"/>
        <v>0.3495471111</v>
      </c>
    </row>
    <row r="26" ht="15.75" customHeight="1">
      <c r="A26" s="36">
        <v>46113.0</v>
      </c>
      <c r="B26" s="15" t="s">
        <v>52</v>
      </c>
      <c r="C26" s="15" t="s">
        <v>36</v>
      </c>
      <c r="D26" s="15">
        <v>-4.0</v>
      </c>
      <c r="E26" s="16">
        <v>35020.0</v>
      </c>
      <c r="F26" s="17">
        <f t="shared" si="7"/>
        <v>-140080</v>
      </c>
      <c r="G26" s="16">
        <v>966.13</v>
      </c>
      <c r="H26" s="16">
        <f t="shared" si="2"/>
        <v>-139113.87</v>
      </c>
      <c r="I26" s="16">
        <v>1422.61</v>
      </c>
      <c r="J26" s="40">
        <f t="shared" si="3"/>
        <v>-97.7877774</v>
      </c>
      <c r="K26" s="41">
        <f>IFERROR(__xludf.DUMMYFUNCTION("IFERROR(GOOGLEFINANCE(""BCBA:"" &amp; B26, ""price""), GOOGLEFINANCE(B26, ""price""))"),36000.0)</f>
        <v>36000</v>
      </c>
      <c r="L26" s="17">
        <f t="shared" si="6"/>
        <v>-144000</v>
      </c>
      <c r="M26" s="45">
        <f>(E26- Portafolio!D19) *- D26</f>
        <v>42651.32</v>
      </c>
      <c r="N26" s="19">
        <f t="shared" si="5"/>
        <v>0</v>
      </c>
    </row>
    <row r="27" ht="15.75" customHeight="1">
      <c r="A27" s="36">
        <v>46119.0</v>
      </c>
      <c r="B27" s="15" t="s">
        <v>43</v>
      </c>
      <c r="C27" s="15" t="s">
        <v>22</v>
      </c>
      <c r="D27" s="15">
        <v>3.0</v>
      </c>
      <c r="E27" s="16">
        <v>10920.0</v>
      </c>
      <c r="F27" s="17">
        <f t="shared" si="7"/>
        <v>32760</v>
      </c>
      <c r="G27" s="16">
        <v>225.95</v>
      </c>
      <c r="H27" s="16">
        <f t="shared" si="2"/>
        <v>32985.95</v>
      </c>
      <c r="I27" s="16">
        <v>1422.0</v>
      </c>
      <c r="J27" s="40">
        <f t="shared" si="3"/>
        <v>23.1968706</v>
      </c>
      <c r="K27" s="41">
        <f>IFERROR(__xludf.DUMMYFUNCTION("IFERROR(GOOGLEFINANCE(""BCBA:"" &amp; B27, ""price""), GOOGLEFINANCE(B27, ""price""))"),15260.0)</f>
        <v>15260</v>
      </c>
      <c r="L27" s="17">
        <f t="shared" si="6"/>
        <v>45780</v>
      </c>
      <c r="M27" s="17">
        <f t="shared" ref="M27:M65" si="9">L27-H27</f>
        <v>12794.05</v>
      </c>
      <c r="N27" s="19">
        <f t="shared" si="5"/>
        <v>0.3905387668</v>
      </c>
    </row>
    <row r="28" ht="15.75" customHeight="1">
      <c r="A28" s="36">
        <v>46119.0</v>
      </c>
      <c r="B28" s="15" t="s">
        <v>51</v>
      </c>
      <c r="C28" s="15" t="s">
        <v>22</v>
      </c>
      <c r="D28" s="15">
        <v>3.0</v>
      </c>
      <c r="E28" s="16">
        <v>10380.0</v>
      </c>
      <c r="F28" s="17">
        <f t="shared" si="7"/>
        <v>31140</v>
      </c>
      <c r="G28" s="16">
        <v>214.78</v>
      </c>
      <c r="H28" s="16">
        <f t="shared" si="2"/>
        <v>31354.78</v>
      </c>
      <c r="I28" s="16">
        <v>1422.0</v>
      </c>
      <c r="J28" s="40">
        <f t="shared" si="3"/>
        <v>22.04977496</v>
      </c>
      <c r="K28" s="41">
        <f>IFERROR(__xludf.DUMMYFUNCTION("IFERROR(GOOGLEFINANCE(""BCBA:"" &amp; B28, ""price""), GOOGLEFINANCE(B28, ""price""))"),10010.0)</f>
        <v>10010</v>
      </c>
      <c r="L28" s="17">
        <f t="shared" si="6"/>
        <v>30030</v>
      </c>
      <c r="M28" s="17">
        <f t="shared" si="9"/>
        <v>-1324.78</v>
      </c>
      <c r="N28" s="19">
        <f t="shared" si="5"/>
        <v>-0.04254271034</v>
      </c>
    </row>
    <row r="29" ht="15.75" customHeight="1">
      <c r="A29" s="36">
        <v>46120.0</v>
      </c>
      <c r="B29" s="15" t="s">
        <v>49</v>
      </c>
      <c r="C29" s="15" t="s">
        <v>22</v>
      </c>
      <c r="D29" s="15">
        <v>4.0</v>
      </c>
      <c r="E29" s="16">
        <v>18660.0</v>
      </c>
      <c r="F29" s="17">
        <f t="shared" si="7"/>
        <v>74640</v>
      </c>
      <c r="G29" s="16">
        <v>2485.21</v>
      </c>
      <c r="H29" s="16">
        <f t="shared" si="2"/>
        <v>77125.21</v>
      </c>
      <c r="I29" s="16">
        <v>1418.99</v>
      </c>
      <c r="J29" s="40">
        <f>H29/I28</f>
        <v>54.23713783</v>
      </c>
      <c r="K29" s="41">
        <f>IFERROR(__xludf.DUMMYFUNCTION("IFERROR(GOOGLEFINANCE(""BCBA:"" &amp; B29, ""price""), GOOGLEFINANCE(B29, ""price""))"),27260.0)</f>
        <v>27260</v>
      </c>
      <c r="L29" s="17">
        <f t="shared" si="6"/>
        <v>109040</v>
      </c>
      <c r="M29" s="17">
        <f t="shared" si="9"/>
        <v>31914.79</v>
      </c>
      <c r="N29" s="19">
        <f t="shared" si="5"/>
        <v>0.4275829314</v>
      </c>
    </row>
    <row r="30" ht="15.75" customHeight="1">
      <c r="A30" s="36">
        <v>46120.0</v>
      </c>
      <c r="B30" s="15" t="s">
        <v>48</v>
      </c>
      <c r="C30" s="15" t="s">
        <v>22</v>
      </c>
      <c r="D30" s="15">
        <v>4.0</v>
      </c>
      <c r="E30" s="16">
        <v>36920.0</v>
      </c>
      <c r="F30" s="17">
        <f t="shared" si="7"/>
        <v>147680</v>
      </c>
      <c r="G30" s="16">
        <v>1018.55</v>
      </c>
      <c r="H30" s="16">
        <f t="shared" si="2"/>
        <v>148698.55</v>
      </c>
      <c r="I30" s="16">
        <v>1418.99</v>
      </c>
      <c r="J30" s="40">
        <f t="shared" ref="J30:J65" si="10">H30/I30</f>
        <v>104.7918238</v>
      </c>
      <c r="K30" s="41">
        <f>IFERROR(__xludf.DUMMYFUNCTION("IFERROR(GOOGLEFINANCE(""BCBA:"" &amp; B30, ""price""), GOOGLEFINANCE(B30, ""price""))"),49700.0)</f>
        <v>49700</v>
      </c>
      <c r="L30" s="17">
        <f t="shared" si="6"/>
        <v>198800</v>
      </c>
      <c r="M30" s="17">
        <f t="shared" si="9"/>
        <v>50101.45</v>
      </c>
      <c r="N30" s="19">
        <f t="shared" si="5"/>
        <v>0.3392568391</v>
      </c>
    </row>
    <row r="31" ht="15.75" customHeight="1">
      <c r="A31" s="36">
        <v>46127.0</v>
      </c>
      <c r="B31" s="15" t="s">
        <v>50</v>
      </c>
      <c r="C31" s="15" t="s">
        <v>36</v>
      </c>
      <c r="D31" s="15">
        <v>-3.0</v>
      </c>
      <c r="E31" s="16">
        <v>30520.0</v>
      </c>
      <c r="F31" s="17">
        <f t="shared" si="7"/>
        <v>-91560</v>
      </c>
      <c r="G31" s="16">
        <v>631.49</v>
      </c>
      <c r="H31" s="16">
        <f t="shared" si="2"/>
        <v>-90928.51</v>
      </c>
      <c r="I31" s="16">
        <v>1410.0</v>
      </c>
      <c r="J31" s="40">
        <f t="shared" si="10"/>
        <v>-64.48830496</v>
      </c>
      <c r="K31" s="41">
        <f>IFERROR(__xludf.DUMMYFUNCTION("IFERROR(GOOGLEFINANCE(""BCBA:"" &amp; B31, ""price""), GOOGLEFINANCE(B31, ""price""))"),29440.0)</f>
        <v>29440</v>
      </c>
      <c r="L31" s="17">
        <f t="shared" si="6"/>
        <v>-88320</v>
      </c>
      <c r="M31" s="17">
        <f t="shared" si="9"/>
        <v>2608.51</v>
      </c>
      <c r="N31" s="19">
        <f t="shared" si="5"/>
        <v>0</v>
      </c>
    </row>
    <row r="32" ht="15.75" customHeight="1">
      <c r="A32" s="36">
        <v>46127.0</v>
      </c>
      <c r="B32" s="15" t="s">
        <v>35</v>
      </c>
      <c r="C32" s="15" t="s">
        <v>22</v>
      </c>
      <c r="D32" s="15">
        <v>5.0</v>
      </c>
      <c r="E32" s="16">
        <v>8145.0</v>
      </c>
      <c r="F32" s="17">
        <f t="shared" si="7"/>
        <v>40725</v>
      </c>
      <c r="G32" s="16">
        <v>280.89</v>
      </c>
      <c r="H32" s="16">
        <f t="shared" si="2"/>
        <v>41005.89</v>
      </c>
      <c r="I32" s="16">
        <v>1410.0</v>
      </c>
      <c r="J32" s="40">
        <f t="shared" si="10"/>
        <v>29.08219149</v>
      </c>
      <c r="K32" s="41">
        <f>IFERROR(__xludf.DUMMYFUNCTION("IFERROR(GOOGLEFINANCE(""BCBA:"" &amp; B32, ""price""), GOOGLEFINANCE(B32, ""price""))"),8575.0)</f>
        <v>8575</v>
      </c>
      <c r="L32" s="17">
        <f t="shared" si="6"/>
        <v>42875</v>
      </c>
      <c r="M32" s="17">
        <f t="shared" si="9"/>
        <v>1869.11</v>
      </c>
      <c r="N32" s="19">
        <f t="shared" si="5"/>
        <v>0.04589588705</v>
      </c>
    </row>
    <row r="33" ht="15.75" customHeight="1">
      <c r="A33" s="36">
        <v>46127.0</v>
      </c>
      <c r="B33" s="15" t="s">
        <v>35</v>
      </c>
      <c r="C33" s="15" t="s">
        <v>22</v>
      </c>
      <c r="D33" s="15">
        <v>1.0</v>
      </c>
      <c r="E33" s="16">
        <v>8135.0</v>
      </c>
      <c r="F33" s="17">
        <f t="shared" si="7"/>
        <v>8135</v>
      </c>
      <c r="G33" s="16">
        <v>56.11</v>
      </c>
      <c r="H33" s="16">
        <f t="shared" si="2"/>
        <v>8191.11</v>
      </c>
      <c r="I33" s="16">
        <v>1410.0</v>
      </c>
      <c r="J33" s="40">
        <f t="shared" si="10"/>
        <v>5.809297872</v>
      </c>
      <c r="K33" s="41">
        <f>IFERROR(__xludf.DUMMYFUNCTION("IFERROR(GOOGLEFINANCE(""BCBA:"" &amp; B33, ""price""), GOOGLEFINANCE(B33, ""price""))"),8575.0)</f>
        <v>8575</v>
      </c>
      <c r="L33" s="17">
        <f t="shared" si="6"/>
        <v>8575</v>
      </c>
      <c r="M33" s="17">
        <f t="shared" si="9"/>
        <v>383.89</v>
      </c>
      <c r="N33" s="19">
        <f t="shared" si="5"/>
        <v>0.0471899201</v>
      </c>
    </row>
    <row r="34" ht="15.75" customHeight="1">
      <c r="A34" s="36">
        <v>46127.0</v>
      </c>
      <c r="B34" s="15" t="s">
        <v>51</v>
      </c>
      <c r="C34" s="15" t="s">
        <v>22</v>
      </c>
      <c r="D34" s="15">
        <v>7.0</v>
      </c>
      <c r="E34" s="16">
        <v>11400.0</v>
      </c>
      <c r="F34" s="17">
        <f t="shared" si="7"/>
        <v>79800</v>
      </c>
      <c r="G34" s="16">
        <v>550.38</v>
      </c>
      <c r="H34" s="16">
        <f t="shared" si="2"/>
        <v>80350.38</v>
      </c>
      <c r="I34" s="16">
        <v>1410.0</v>
      </c>
      <c r="J34" s="40">
        <f t="shared" si="10"/>
        <v>56.98608511</v>
      </c>
      <c r="K34" s="41">
        <f>IFERROR(__xludf.DUMMYFUNCTION("IFERROR(GOOGLEFINANCE(""BCBA:"" &amp; B34, ""price""), GOOGLEFINANCE(B34, ""price""))"),10010.0)</f>
        <v>10010</v>
      </c>
      <c r="L34" s="17">
        <f t="shared" si="6"/>
        <v>70070</v>
      </c>
      <c r="M34" s="17">
        <f t="shared" si="9"/>
        <v>-10280.38</v>
      </c>
      <c r="N34" s="19">
        <f t="shared" si="5"/>
        <v>-0.128826817</v>
      </c>
    </row>
    <row r="35" ht="15.75" customHeight="1">
      <c r="A35" s="36">
        <v>46128.0</v>
      </c>
      <c r="B35" s="15" t="s">
        <v>63</v>
      </c>
      <c r="C35" s="15" t="s">
        <v>22</v>
      </c>
      <c r="D35" s="15">
        <v>28.0</v>
      </c>
      <c r="E35" s="16">
        <v>3740.0</v>
      </c>
      <c r="F35" s="17">
        <f t="shared" si="7"/>
        <v>104720</v>
      </c>
      <c r="G35" s="16">
        <v>722.25</v>
      </c>
      <c r="H35" s="16">
        <f t="shared" si="2"/>
        <v>105442.25</v>
      </c>
      <c r="I35" s="16">
        <v>1410.0</v>
      </c>
      <c r="J35" s="40">
        <f t="shared" si="10"/>
        <v>74.78173759</v>
      </c>
      <c r="K35" s="41">
        <f>IFERROR(__xludf.DUMMYFUNCTION("IFERROR(GOOGLEFINANCE(""BCBA:"" &amp; B35, ""price""), GOOGLEFINANCE(B35, ""price""))"),3790.0)</f>
        <v>3790</v>
      </c>
      <c r="L35" s="17">
        <f t="shared" si="6"/>
        <v>106120</v>
      </c>
      <c r="M35" s="17">
        <f t="shared" si="9"/>
        <v>677.75</v>
      </c>
      <c r="N35" s="19">
        <f t="shared" si="5"/>
        <v>0.006472020626</v>
      </c>
    </row>
    <row r="36" ht="15.75" customHeight="1">
      <c r="A36" s="36">
        <v>46150.0</v>
      </c>
      <c r="B36" s="15" t="s">
        <v>40</v>
      </c>
      <c r="C36" s="15" t="s">
        <v>22</v>
      </c>
      <c r="D36" s="15">
        <v>5.0</v>
      </c>
      <c r="E36" s="16">
        <v>20700.0</v>
      </c>
      <c r="F36" s="17">
        <f t="shared" si="7"/>
        <v>103500</v>
      </c>
      <c r="G36" s="16">
        <v>713.84</v>
      </c>
      <c r="H36" s="16">
        <f t="shared" si="2"/>
        <v>104213.84</v>
      </c>
      <c r="I36" s="16">
        <v>1427.0</v>
      </c>
      <c r="J36" s="40">
        <f t="shared" si="10"/>
        <v>73.03002102</v>
      </c>
      <c r="K36" s="41">
        <f>IFERROR(__xludf.DUMMYFUNCTION("IFERROR(GOOGLEFINANCE(""BCBA:"" &amp; B36, ""price""), GOOGLEFINANCE(B36, ""price""))"),23260.0)</f>
        <v>23260</v>
      </c>
      <c r="L36" s="17">
        <f t="shared" si="6"/>
        <v>116300</v>
      </c>
      <c r="M36" s="17">
        <f t="shared" si="9"/>
        <v>12086.16</v>
      </c>
      <c r="N36" s="19">
        <f t="shared" si="5"/>
        <v>0.1167744928</v>
      </c>
    </row>
    <row r="37" ht="15.75" customHeight="1">
      <c r="A37" s="36">
        <v>46150.0</v>
      </c>
      <c r="B37" s="15" t="s">
        <v>65</v>
      </c>
      <c r="C37" s="15" t="s">
        <v>22</v>
      </c>
      <c r="D37" s="15">
        <v>5.0</v>
      </c>
      <c r="E37" s="16">
        <v>17400.0</v>
      </c>
      <c r="F37" s="17">
        <f t="shared" si="7"/>
        <v>87000</v>
      </c>
      <c r="G37" s="16">
        <v>600.04</v>
      </c>
      <c r="H37" s="16">
        <f t="shared" si="2"/>
        <v>87600.04</v>
      </c>
      <c r="I37" s="16">
        <v>1427.0</v>
      </c>
      <c r="J37" s="40">
        <f t="shared" si="10"/>
        <v>61.38755431</v>
      </c>
      <c r="K37" s="41">
        <f>IFERROR(__xludf.DUMMYFUNCTION("IFERROR(GOOGLEFINANCE(""BCBA:"" &amp; B37, ""price""), GOOGLEFINANCE(B37, ""price""))"),15770.0)</f>
        <v>15770</v>
      </c>
      <c r="L37" s="17">
        <f t="shared" si="6"/>
        <v>78850</v>
      </c>
      <c r="M37" s="17">
        <f t="shared" si="9"/>
        <v>-8750.04</v>
      </c>
      <c r="N37" s="19">
        <f t="shared" si="5"/>
        <v>-0.1005751724</v>
      </c>
    </row>
    <row r="38" ht="15.75" customHeight="1">
      <c r="A38" s="36">
        <v>46157.0</v>
      </c>
      <c r="B38" s="15" t="s">
        <v>51</v>
      </c>
      <c r="C38" s="15" t="s">
        <v>22</v>
      </c>
      <c r="D38" s="15">
        <v>10.0</v>
      </c>
      <c r="E38" s="16">
        <v>8980.0</v>
      </c>
      <c r="F38" s="17">
        <f t="shared" si="7"/>
        <v>89800</v>
      </c>
      <c r="G38" s="16">
        <v>619.35</v>
      </c>
      <c r="H38" s="16">
        <f t="shared" si="2"/>
        <v>90419.35</v>
      </c>
      <c r="I38" s="16">
        <v>1420.0</v>
      </c>
      <c r="J38" s="40">
        <f t="shared" si="10"/>
        <v>63.67559859</v>
      </c>
      <c r="K38" s="41">
        <f>IFERROR(__xludf.DUMMYFUNCTION("IFERROR(GOOGLEFINANCE(""BCBA:"" &amp; B38, ""price""), GOOGLEFINANCE(B38, ""price""))"),10010.0)</f>
        <v>10010</v>
      </c>
      <c r="L38" s="17">
        <f t="shared" si="6"/>
        <v>100100</v>
      </c>
      <c r="M38" s="17">
        <f t="shared" si="9"/>
        <v>9680.65</v>
      </c>
      <c r="N38" s="19">
        <f t="shared" si="5"/>
        <v>0.1078023385</v>
      </c>
    </row>
    <row r="39" ht="15.75" customHeight="1">
      <c r="A39" s="36">
        <v>46157.0</v>
      </c>
      <c r="B39" s="15" t="s">
        <v>40</v>
      </c>
      <c r="C39" s="15" t="s">
        <v>22</v>
      </c>
      <c r="D39" s="15">
        <v>5.0</v>
      </c>
      <c r="E39" s="48">
        <v>19580.0</v>
      </c>
      <c r="F39" s="41">
        <f t="shared" si="7"/>
        <v>97900</v>
      </c>
      <c r="G39" s="16">
        <v>675.22</v>
      </c>
      <c r="H39" s="16">
        <f t="shared" si="2"/>
        <v>98575.22</v>
      </c>
      <c r="I39" s="16">
        <v>1420.0</v>
      </c>
      <c r="J39" s="40">
        <f t="shared" si="10"/>
        <v>69.41916901</v>
      </c>
      <c r="K39" s="41">
        <f>IFERROR(__xludf.DUMMYFUNCTION("IFERROR(GOOGLEFINANCE(""BCBA:"" &amp; B39, ""price""), GOOGLEFINANCE(B39, ""price""))"),23260.0)</f>
        <v>23260</v>
      </c>
      <c r="L39" s="41">
        <f t="shared" si="6"/>
        <v>116300</v>
      </c>
      <c r="M39" s="17">
        <f t="shared" si="9"/>
        <v>17724.78</v>
      </c>
      <c r="N39" s="50">
        <f t="shared" si="5"/>
        <v>0.1810498468</v>
      </c>
    </row>
    <row r="40" ht="15.75" customHeight="1">
      <c r="A40" s="36">
        <v>46157.0</v>
      </c>
      <c r="B40" s="15" t="s">
        <v>42</v>
      </c>
      <c r="C40" s="15" t="s">
        <v>22</v>
      </c>
      <c r="D40" s="15">
        <v>4.0</v>
      </c>
      <c r="E40" s="48">
        <v>6665.0</v>
      </c>
      <c r="F40" s="41">
        <f t="shared" si="7"/>
        <v>26660</v>
      </c>
      <c r="G40" s="16">
        <v>183.87</v>
      </c>
      <c r="H40" s="16">
        <f t="shared" si="2"/>
        <v>26843.87</v>
      </c>
      <c r="I40" s="16">
        <v>1420.0</v>
      </c>
      <c r="J40" s="40">
        <f t="shared" si="10"/>
        <v>18.9041338</v>
      </c>
      <c r="K40" s="41">
        <f>IFERROR(__xludf.DUMMYFUNCTION("IFERROR(GOOGLEFINANCE(""BCBA:"" &amp; B40, ""price""), GOOGLEFINANCE(B40, ""price""))"),7655.0)</f>
        <v>7655</v>
      </c>
      <c r="L40" s="41">
        <f t="shared" si="6"/>
        <v>30620</v>
      </c>
      <c r="M40" s="17">
        <f t="shared" si="9"/>
        <v>3776.13</v>
      </c>
      <c r="N40" s="50">
        <f t="shared" si="5"/>
        <v>0.1416402851</v>
      </c>
    </row>
    <row r="41" ht="15.75" customHeight="1">
      <c r="A41" s="36">
        <v>46175.0</v>
      </c>
      <c r="B41" s="15" t="s">
        <v>39</v>
      </c>
      <c r="C41" s="15" t="s">
        <v>36</v>
      </c>
      <c r="D41" s="15">
        <v>-6.0</v>
      </c>
      <c r="E41" s="16">
        <v>13280.0</v>
      </c>
      <c r="F41" s="17">
        <f t="shared" si="7"/>
        <v>-79680</v>
      </c>
      <c r="G41" s="16">
        <v>549.55</v>
      </c>
      <c r="H41" s="16">
        <f t="shared" si="2"/>
        <v>-79130.45</v>
      </c>
      <c r="I41" s="16">
        <v>1430.0</v>
      </c>
      <c r="J41" s="40">
        <f t="shared" si="10"/>
        <v>-55.33597902</v>
      </c>
      <c r="K41" s="41">
        <f>IFERROR(__xludf.DUMMYFUNCTION("IFERROR(GOOGLEFINANCE(""BCBA:"" &amp; B41, ""price""), GOOGLEFINANCE(B41, ""price""))"),10690.0)</f>
        <v>10690</v>
      </c>
      <c r="L41" s="17">
        <f t="shared" si="6"/>
        <v>-64140</v>
      </c>
      <c r="M41" s="17">
        <f t="shared" si="9"/>
        <v>14990.45</v>
      </c>
      <c r="N41" s="19">
        <f t="shared" si="5"/>
        <v>0</v>
      </c>
    </row>
    <row r="42" ht="15.75" customHeight="1">
      <c r="A42" s="36">
        <v>46175.0</v>
      </c>
      <c r="B42" s="15" t="s">
        <v>63</v>
      </c>
      <c r="C42" s="15" t="s">
        <v>22</v>
      </c>
      <c r="D42" s="15">
        <v>15.0</v>
      </c>
      <c r="E42" s="16">
        <v>3720.0</v>
      </c>
      <c r="F42" s="17">
        <f t="shared" si="7"/>
        <v>55800</v>
      </c>
      <c r="G42" s="16">
        <v>384.85</v>
      </c>
      <c r="H42" s="16">
        <f t="shared" si="2"/>
        <v>56184.85</v>
      </c>
      <c r="I42" s="16">
        <v>1430.0</v>
      </c>
      <c r="J42" s="40">
        <f t="shared" si="10"/>
        <v>39.2901049</v>
      </c>
      <c r="K42" s="41">
        <f>IFERROR(__xludf.DUMMYFUNCTION("IFERROR(GOOGLEFINANCE(""BCBA:"" &amp; B42, ""price""), GOOGLEFINANCE(B42, ""price""))"),3790.0)</f>
        <v>3790</v>
      </c>
      <c r="L42" s="17">
        <f t="shared" si="6"/>
        <v>56850</v>
      </c>
      <c r="M42" s="17">
        <f t="shared" si="9"/>
        <v>665.15</v>
      </c>
      <c r="N42" s="19">
        <f t="shared" si="5"/>
        <v>0.0119202509</v>
      </c>
    </row>
    <row r="43" ht="15.75" customHeight="1">
      <c r="A43" s="36">
        <v>46175.0</v>
      </c>
      <c r="B43" s="15" t="s">
        <v>35</v>
      </c>
      <c r="C43" s="15" t="s">
        <v>22</v>
      </c>
      <c r="D43" s="15">
        <v>2.0</v>
      </c>
      <c r="E43" s="16">
        <v>8940.0</v>
      </c>
      <c r="F43" s="17">
        <f t="shared" si="7"/>
        <v>17880</v>
      </c>
      <c r="G43" s="16">
        <v>123.32</v>
      </c>
      <c r="H43" s="16">
        <f t="shared" si="2"/>
        <v>18003.32</v>
      </c>
      <c r="I43" s="16">
        <v>1430.0</v>
      </c>
      <c r="J43" s="40">
        <f t="shared" si="10"/>
        <v>12.58973427</v>
      </c>
      <c r="K43" s="41">
        <f>IFERROR(__xludf.DUMMYFUNCTION("IFERROR(GOOGLEFINANCE(""BCBA:"" &amp; B43, ""price""), GOOGLEFINANCE(B43, ""price""))"),8575.0)</f>
        <v>8575</v>
      </c>
      <c r="L43" s="17">
        <f t="shared" si="6"/>
        <v>17150</v>
      </c>
      <c r="M43" s="17">
        <f t="shared" si="9"/>
        <v>-853.32</v>
      </c>
      <c r="N43" s="19">
        <f t="shared" si="5"/>
        <v>-0.04772483221</v>
      </c>
    </row>
    <row r="44" ht="15.75" customHeight="1">
      <c r="A44" s="36">
        <v>46180.0</v>
      </c>
      <c r="B44" s="15" t="s">
        <v>35</v>
      </c>
      <c r="C44" s="15" t="s">
        <v>22</v>
      </c>
      <c r="D44" s="15">
        <v>15.0</v>
      </c>
      <c r="E44" s="16">
        <v>6860.0</v>
      </c>
      <c r="F44" s="17">
        <f t="shared" si="7"/>
        <v>102900</v>
      </c>
      <c r="G44" s="16">
        <v>709.71</v>
      </c>
      <c r="H44" s="16">
        <f t="shared" si="2"/>
        <v>103609.71</v>
      </c>
      <c r="I44" s="16">
        <v>1440.0</v>
      </c>
      <c r="J44" s="40">
        <f t="shared" si="10"/>
        <v>71.9511875</v>
      </c>
      <c r="K44" s="41">
        <f>IFERROR(__xludf.DUMMYFUNCTION("IFERROR(GOOGLEFINANCE(""BCBA:"" &amp; B44, ""price""), GOOGLEFINANCE(B44, ""price""))"),8575.0)</f>
        <v>8575</v>
      </c>
      <c r="L44" s="17">
        <f t="shared" si="6"/>
        <v>128625</v>
      </c>
      <c r="M44" s="17">
        <f t="shared" si="9"/>
        <v>25015.29</v>
      </c>
      <c r="N44" s="19">
        <f t="shared" si="5"/>
        <v>0.2431029155</v>
      </c>
    </row>
    <row r="45" ht="15.75" customHeight="1">
      <c r="A45" s="36">
        <v>46180.0</v>
      </c>
      <c r="B45" s="15" t="s">
        <v>49</v>
      </c>
      <c r="C45" s="15" t="s">
        <v>22</v>
      </c>
      <c r="D45" s="15">
        <v>3.0</v>
      </c>
      <c r="E45" s="16">
        <v>19180.0</v>
      </c>
      <c r="F45" s="17">
        <f t="shared" si="7"/>
        <v>57540</v>
      </c>
      <c r="G45" s="16">
        <v>396.86</v>
      </c>
      <c r="H45" s="16">
        <f t="shared" si="2"/>
        <v>57936.86</v>
      </c>
      <c r="I45" s="16">
        <v>1440.0</v>
      </c>
      <c r="J45" s="40">
        <f t="shared" si="10"/>
        <v>40.23393056</v>
      </c>
      <c r="K45" s="41">
        <f>IFERROR(__xludf.DUMMYFUNCTION("IFERROR(GOOGLEFINANCE(""BCBA:"" &amp; B45, ""price""), GOOGLEFINANCE(B45, ""price""))"),27260.0)</f>
        <v>27260</v>
      </c>
      <c r="L45" s="17">
        <f t="shared" si="6"/>
        <v>81780</v>
      </c>
      <c r="M45" s="17">
        <f t="shared" si="9"/>
        <v>23843.14</v>
      </c>
      <c r="N45" s="19">
        <f t="shared" si="5"/>
        <v>0.4143750434</v>
      </c>
    </row>
    <row r="46" ht="15.75" customHeight="1">
      <c r="A46" s="36">
        <v>46180.0</v>
      </c>
      <c r="B46" s="15" t="s">
        <v>48</v>
      </c>
      <c r="C46" s="15" t="s">
        <v>22</v>
      </c>
      <c r="D46" s="15">
        <v>3.0</v>
      </c>
      <c r="E46" s="16">
        <v>35240.0</v>
      </c>
      <c r="F46" s="17">
        <f t="shared" si="7"/>
        <v>105720</v>
      </c>
      <c r="G46" s="16">
        <v>729.15</v>
      </c>
      <c r="H46" s="16">
        <f t="shared" si="2"/>
        <v>106449.15</v>
      </c>
      <c r="I46" s="16">
        <v>1440.0</v>
      </c>
      <c r="J46" s="40">
        <f t="shared" si="10"/>
        <v>73.92302083</v>
      </c>
      <c r="K46" s="41">
        <f>IFERROR(__xludf.DUMMYFUNCTION("IFERROR(GOOGLEFINANCE(""BCBA:"" &amp; B46, ""price""), GOOGLEFINANCE(B46, ""price""))"),49700.0)</f>
        <v>49700</v>
      </c>
      <c r="L46" s="17">
        <f t="shared" si="6"/>
        <v>149100</v>
      </c>
      <c r="M46" s="17">
        <f t="shared" si="9"/>
        <v>42650.85</v>
      </c>
      <c r="N46" s="19">
        <f t="shared" si="5"/>
        <v>0.4034321793</v>
      </c>
    </row>
    <row r="47" ht="15.75" customHeight="1">
      <c r="A47" s="36">
        <v>46180.0</v>
      </c>
      <c r="B47" s="15" t="s">
        <v>63</v>
      </c>
      <c r="C47" s="15" t="s">
        <v>22</v>
      </c>
      <c r="D47" s="15">
        <v>11.0</v>
      </c>
      <c r="E47" s="16">
        <v>3382.5</v>
      </c>
      <c r="F47" s="17">
        <f t="shared" si="7"/>
        <v>37207.5</v>
      </c>
      <c r="G47" s="16">
        <v>256.63</v>
      </c>
      <c r="H47" s="16">
        <f t="shared" si="2"/>
        <v>37464.13</v>
      </c>
      <c r="I47" s="16">
        <v>1440.0</v>
      </c>
      <c r="J47" s="40">
        <f t="shared" si="10"/>
        <v>26.01675694</v>
      </c>
      <c r="K47" s="41">
        <f>IFERROR(__xludf.DUMMYFUNCTION("IFERROR(GOOGLEFINANCE(""BCBA:"" &amp; B47, ""price""), GOOGLEFINANCE(B47, ""price""))"),3790.0)</f>
        <v>3790</v>
      </c>
      <c r="L47" s="17">
        <f t="shared" si="6"/>
        <v>41690</v>
      </c>
      <c r="M47" s="17">
        <f t="shared" si="9"/>
        <v>4225.87</v>
      </c>
      <c r="N47" s="19">
        <f t="shared" si="5"/>
        <v>0.1135757576</v>
      </c>
    </row>
    <row r="48" ht="15.75" customHeight="1">
      <c r="A48" s="36">
        <v>46211.0</v>
      </c>
      <c r="B48" s="15" t="s">
        <v>48</v>
      </c>
      <c r="C48" s="15" t="s">
        <v>22</v>
      </c>
      <c r="D48" s="15">
        <v>3.0</v>
      </c>
      <c r="E48" s="16">
        <v>39780.0</v>
      </c>
      <c r="F48" s="17">
        <f t="shared" si="7"/>
        <v>119340</v>
      </c>
      <c r="G48" s="16">
        <v>823.09</v>
      </c>
      <c r="H48" s="16">
        <f t="shared" si="2"/>
        <v>120163.09</v>
      </c>
      <c r="I48" s="16">
        <v>1520.0</v>
      </c>
      <c r="J48" s="40">
        <f t="shared" si="10"/>
        <v>79.05466447</v>
      </c>
      <c r="K48" s="41">
        <f>IFERROR(__xludf.DUMMYFUNCTION("IFERROR(GOOGLEFINANCE(""BCBA:"" &amp; B48, ""price""), GOOGLEFINANCE(B48, ""price""))"),49700.0)</f>
        <v>49700</v>
      </c>
      <c r="L48" s="17">
        <f t="shared" si="6"/>
        <v>149100</v>
      </c>
      <c r="M48" s="17">
        <f t="shared" si="9"/>
        <v>28936.91</v>
      </c>
      <c r="N48" s="19">
        <f t="shared" si="5"/>
        <v>0.2424745266</v>
      </c>
    </row>
    <row r="49" ht="15.75" customHeight="1">
      <c r="A49" s="36">
        <v>46211.0</v>
      </c>
      <c r="B49" s="15" t="s">
        <v>49</v>
      </c>
      <c r="C49" s="15" t="s">
        <v>22</v>
      </c>
      <c r="D49" s="15">
        <v>5.0</v>
      </c>
      <c r="E49" s="16">
        <v>20160.0</v>
      </c>
      <c r="F49" s="17">
        <f t="shared" si="7"/>
        <v>100800</v>
      </c>
      <c r="G49" s="16">
        <v>695.22</v>
      </c>
      <c r="H49" s="16">
        <f t="shared" si="2"/>
        <v>101495.22</v>
      </c>
      <c r="I49" s="16">
        <v>1520.0</v>
      </c>
      <c r="J49" s="40">
        <f t="shared" si="10"/>
        <v>66.77317105</v>
      </c>
      <c r="K49" s="41">
        <f>IFERROR(__xludf.DUMMYFUNCTION("IFERROR(GOOGLEFINANCE(""BCBA:"" &amp; B49, ""price""), GOOGLEFINANCE(B49, ""price""))"),27260.0)</f>
        <v>27260</v>
      </c>
      <c r="L49" s="17">
        <f t="shared" si="6"/>
        <v>136300</v>
      </c>
      <c r="M49" s="17">
        <f t="shared" si="9"/>
        <v>34804.78</v>
      </c>
      <c r="N49" s="19">
        <f t="shared" si="5"/>
        <v>0.3452855159</v>
      </c>
    </row>
    <row r="50" ht="15.75" customHeight="1">
      <c r="A50" s="36">
        <v>46211.0</v>
      </c>
      <c r="B50" s="15" t="s">
        <v>63</v>
      </c>
      <c r="C50" s="15" t="s">
        <v>22</v>
      </c>
      <c r="D50" s="15">
        <v>34.0</v>
      </c>
      <c r="E50" s="16">
        <v>2885.0</v>
      </c>
      <c r="F50" s="17">
        <f t="shared" si="7"/>
        <v>98090</v>
      </c>
      <c r="G50" s="16">
        <v>676.52</v>
      </c>
      <c r="H50" s="16">
        <f t="shared" si="2"/>
        <v>98766.52</v>
      </c>
      <c r="I50" s="16">
        <v>1520.0</v>
      </c>
      <c r="J50" s="40">
        <f t="shared" si="10"/>
        <v>64.97797368</v>
      </c>
      <c r="K50" s="41">
        <f>IFERROR(__xludf.DUMMYFUNCTION("IFERROR(GOOGLEFINANCE(""BCBA:"" &amp; B50, ""price""), GOOGLEFINANCE(B50, ""price""))"),3790.0)</f>
        <v>3790</v>
      </c>
      <c r="L50" s="17">
        <f t="shared" si="6"/>
        <v>128860</v>
      </c>
      <c r="M50" s="17">
        <f t="shared" si="9"/>
        <v>30093.48</v>
      </c>
      <c r="N50" s="19">
        <f t="shared" si="5"/>
        <v>0.3067945764</v>
      </c>
    </row>
    <row r="51" ht="15.75" customHeight="1">
      <c r="A51" s="36">
        <v>46211.0</v>
      </c>
      <c r="B51" s="15" t="s">
        <v>35</v>
      </c>
      <c r="C51" s="15" t="s">
        <v>22</v>
      </c>
      <c r="D51" s="15">
        <v>6.0</v>
      </c>
      <c r="E51" s="16">
        <v>7885.0</v>
      </c>
      <c r="F51" s="17">
        <f t="shared" si="7"/>
        <v>47310</v>
      </c>
      <c r="G51" s="16">
        <v>326.3</v>
      </c>
      <c r="H51" s="16">
        <f t="shared" si="2"/>
        <v>47636.3</v>
      </c>
      <c r="I51" s="16">
        <v>1520.0</v>
      </c>
      <c r="J51" s="40">
        <f t="shared" si="10"/>
        <v>31.33967105</v>
      </c>
      <c r="K51" s="41">
        <f>IFERROR(__xludf.DUMMYFUNCTION("IFERROR(GOOGLEFINANCE(""BCBA:"" &amp; B51, ""price""), GOOGLEFINANCE(B51, ""price""))"),8575.0)</f>
        <v>8575</v>
      </c>
      <c r="L51" s="17">
        <f t="shared" si="6"/>
        <v>51450</v>
      </c>
      <c r="M51" s="17">
        <f t="shared" si="9"/>
        <v>3813.7</v>
      </c>
      <c r="N51" s="19">
        <f t="shared" si="5"/>
        <v>0.08061086451</v>
      </c>
    </row>
    <row r="52" ht="15.75" customHeight="1">
      <c r="A52" s="36">
        <v>46211.0</v>
      </c>
      <c r="B52" s="15" t="s">
        <v>40</v>
      </c>
      <c r="C52" s="15" t="s">
        <v>22</v>
      </c>
      <c r="D52" s="15">
        <v>2.0</v>
      </c>
      <c r="E52" s="16">
        <v>23580.0</v>
      </c>
      <c r="F52" s="17">
        <f t="shared" si="7"/>
        <v>47160</v>
      </c>
      <c r="G52" s="16">
        <v>325.26</v>
      </c>
      <c r="H52" s="16">
        <f t="shared" si="2"/>
        <v>47485.26</v>
      </c>
      <c r="I52" s="16">
        <v>1520.0</v>
      </c>
      <c r="J52" s="40">
        <f t="shared" si="10"/>
        <v>31.24030263</v>
      </c>
      <c r="K52" s="41">
        <f>IFERROR(__xludf.DUMMYFUNCTION("IFERROR(GOOGLEFINANCE(""BCBA:"" &amp; B52, ""price""), GOOGLEFINANCE(B52, ""price""))"),23260.0)</f>
        <v>23260</v>
      </c>
      <c r="L52" s="17">
        <f t="shared" si="6"/>
        <v>46520</v>
      </c>
      <c r="M52" s="17">
        <f t="shared" si="9"/>
        <v>-965.26</v>
      </c>
      <c r="N52" s="19">
        <f t="shared" si="5"/>
        <v>-0.0204677693</v>
      </c>
    </row>
    <row r="53" ht="15.75" customHeight="1">
      <c r="A53" s="36">
        <v>46211.0</v>
      </c>
      <c r="B53" s="15" t="s">
        <v>42</v>
      </c>
      <c r="C53" s="15" t="s">
        <v>22</v>
      </c>
      <c r="D53" s="15">
        <v>6.0</v>
      </c>
      <c r="E53" s="48">
        <v>5575.0</v>
      </c>
      <c r="F53" s="17">
        <f t="shared" si="7"/>
        <v>33450</v>
      </c>
      <c r="G53" s="16">
        <v>230.71</v>
      </c>
      <c r="H53" s="16">
        <f t="shared" si="2"/>
        <v>33680.71</v>
      </c>
      <c r="I53" s="16">
        <v>1520.0</v>
      </c>
      <c r="J53" s="40">
        <f t="shared" si="10"/>
        <v>22.15836184</v>
      </c>
      <c r="K53" s="41">
        <f>IFERROR(__xludf.DUMMYFUNCTION("IFERROR(GOOGLEFINANCE(""BCBA:"" &amp; B53, ""price""), GOOGLEFINANCE(B53, ""price""))"),7655.0)</f>
        <v>7655</v>
      </c>
      <c r="L53" s="17">
        <f t="shared" si="6"/>
        <v>45930</v>
      </c>
      <c r="M53" s="17">
        <f t="shared" si="9"/>
        <v>12249.29</v>
      </c>
      <c r="N53" s="19">
        <f t="shared" si="5"/>
        <v>0.3661970105</v>
      </c>
    </row>
    <row r="54" ht="15.75" customHeight="1">
      <c r="A54" s="36">
        <v>46211.0</v>
      </c>
      <c r="B54" s="15" t="s">
        <v>65</v>
      </c>
      <c r="C54" s="15" t="s">
        <v>22</v>
      </c>
      <c r="D54" s="15">
        <v>3.0</v>
      </c>
      <c r="E54" s="48">
        <v>18220.0</v>
      </c>
      <c r="F54" s="17">
        <f t="shared" si="7"/>
        <v>54660</v>
      </c>
      <c r="G54" s="16">
        <v>376.99</v>
      </c>
      <c r="H54" s="16">
        <f t="shared" si="2"/>
        <v>55036.99</v>
      </c>
      <c r="I54" s="16">
        <v>1520.0</v>
      </c>
      <c r="J54" s="40">
        <f t="shared" si="10"/>
        <v>36.20854605</v>
      </c>
      <c r="K54" s="41">
        <f>IFERROR(__xludf.DUMMYFUNCTION("IFERROR(GOOGLEFINANCE(""BCBA:"" &amp; B54, ""price""), GOOGLEFINANCE(B54, ""price""))"),15770.0)</f>
        <v>15770</v>
      </c>
      <c r="L54" s="17">
        <f t="shared" si="6"/>
        <v>47310</v>
      </c>
      <c r="M54" s="17">
        <f t="shared" si="9"/>
        <v>-7726.99</v>
      </c>
      <c r="N54" s="19">
        <f t="shared" si="5"/>
        <v>-0.1413646176</v>
      </c>
    </row>
    <row r="55" ht="15.75" customHeight="1">
      <c r="A55" s="36">
        <v>46232.0</v>
      </c>
      <c r="B55" s="15" t="s">
        <v>54</v>
      </c>
      <c r="C55" s="15" t="s">
        <v>22</v>
      </c>
      <c r="D55" s="15">
        <v>1.0</v>
      </c>
      <c r="E55" s="16">
        <v>243750.0</v>
      </c>
      <c r="F55" s="17">
        <f t="shared" si="7"/>
        <v>243750</v>
      </c>
      <c r="G55" s="16">
        <v>1681.15</v>
      </c>
      <c r="H55" s="16">
        <f t="shared" si="2"/>
        <v>245431.15</v>
      </c>
      <c r="I55" s="16">
        <v>1530.0</v>
      </c>
      <c r="J55" s="40">
        <f t="shared" si="10"/>
        <v>160.4125163</v>
      </c>
      <c r="K55" s="41">
        <f>IFERROR(__xludf.DUMMYFUNCTION("IFERROR(GOOGLEFINANCE(""BCBA:"" &amp; B55, ""price""), GOOGLEFINANCE(B55, ""price""))"),344500.0)</f>
        <v>344500</v>
      </c>
      <c r="L55" s="17">
        <f t="shared" si="6"/>
        <v>344500</v>
      </c>
      <c r="M55" s="17">
        <f t="shared" si="9"/>
        <v>99068.85</v>
      </c>
      <c r="N55" s="19">
        <f t="shared" si="5"/>
        <v>0.4064363077</v>
      </c>
    </row>
    <row r="56" ht="15.75" customHeight="1">
      <c r="A56" s="36">
        <v>46238.0</v>
      </c>
      <c r="B56" s="15" t="s">
        <v>42</v>
      </c>
      <c r="C56" s="15" t="s">
        <v>22</v>
      </c>
      <c r="D56" s="15">
        <v>17.0</v>
      </c>
      <c r="E56" s="16">
        <v>5730.0</v>
      </c>
      <c r="F56" s="17">
        <f t="shared" si="7"/>
        <v>97410</v>
      </c>
      <c r="G56" s="16">
        <v>671.84</v>
      </c>
      <c r="H56" s="16">
        <f t="shared" si="2"/>
        <v>98081.84</v>
      </c>
      <c r="I56" s="16">
        <v>1550.0</v>
      </c>
      <c r="J56" s="40">
        <f t="shared" si="10"/>
        <v>63.27860645</v>
      </c>
      <c r="K56" s="41">
        <f>IFERROR(__xludf.DUMMYFUNCTION("IFERROR(GOOGLEFINANCE(""BCBA:"" &amp; B56, ""price""), GOOGLEFINANCE(B56, ""price""))"),7655.0)</f>
        <v>7655</v>
      </c>
      <c r="L56" s="17">
        <f t="shared" si="6"/>
        <v>130135</v>
      </c>
      <c r="M56" s="17">
        <f t="shared" si="9"/>
        <v>32053.16</v>
      </c>
      <c r="N56" s="19">
        <f t="shared" si="5"/>
        <v>0.3290541012</v>
      </c>
    </row>
    <row r="57" ht="15.75" customHeight="1">
      <c r="A57" s="36">
        <v>46238.0</v>
      </c>
      <c r="B57" s="15" t="s">
        <v>42</v>
      </c>
      <c r="C57" s="15" t="s">
        <v>22</v>
      </c>
      <c r="D57" s="15">
        <v>3.0</v>
      </c>
      <c r="E57" s="16">
        <v>5730.0</v>
      </c>
      <c r="F57" s="17">
        <f t="shared" si="7"/>
        <v>17190</v>
      </c>
      <c r="G57" s="16">
        <v>118.56</v>
      </c>
      <c r="H57" s="16">
        <f t="shared" si="2"/>
        <v>17308.56</v>
      </c>
      <c r="I57" s="16">
        <v>1550.0</v>
      </c>
      <c r="J57" s="40">
        <f t="shared" si="10"/>
        <v>11.1668129</v>
      </c>
      <c r="K57" s="41">
        <f>IFERROR(__xludf.DUMMYFUNCTION("IFERROR(GOOGLEFINANCE(""BCBA:"" &amp; B57, ""price""), GOOGLEFINANCE(B57, ""price""))"),7655.0)</f>
        <v>7655</v>
      </c>
      <c r="L57" s="17">
        <f t="shared" si="6"/>
        <v>22965</v>
      </c>
      <c r="M57" s="17">
        <f t="shared" si="9"/>
        <v>5656.44</v>
      </c>
      <c r="N57" s="19">
        <f t="shared" si="5"/>
        <v>0.3290541012</v>
      </c>
    </row>
    <row r="58" ht="15.75" customHeight="1">
      <c r="A58" s="36">
        <v>46238.0</v>
      </c>
      <c r="B58" s="15" t="s">
        <v>65</v>
      </c>
      <c r="C58" s="15" t="s">
        <v>22</v>
      </c>
      <c r="D58" s="15">
        <v>5.0</v>
      </c>
      <c r="E58" s="16">
        <v>17640.0</v>
      </c>
      <c r="F58" s="17">
        <f t="shared" si="7"/>
        <v>88200</v>
      </c>
      <c r="G58" s="16">
        <v>608.32</v>
      </c>
      <c r="H58" s="16">
        <f t="shared" si="2"/>
        <v>88808.32</v>
      </c>
      <c r="I58" s="16">
        <v>1550.0</v>
      </c>
      <c r="J58" s="40">
        <f t="shared" si="10"/>
        <v>57.29569032</v>
      </c>
      <c r="K58" s="41">
        <f>IFERROR(__xludf.DUMMYFUNCTION("IFERROR(GOOGLEFINANCE(""BCBA:"" &amp; B58, ""price""), GOOGLEFINANCE(B58, ""price""))"),15770.0)</f>
        <v>15770</v>
      </c>
      <c r="L58" s="17">
        <f t="shared" si="6"/>
        <v>78850</v>
      </c>
      <c r="M58" s="17">
        <f t="shared" si="9"/>
        <v>-9958.32</v>
      </c>
      <c r="N58" s="19">
        <f t="shared" si="5"/>
        <v>-0.1129061224</v>
      </c>
    </row>
    <row r="59" ht="15.75" customHeight="1">
      <c r="A59" s="36">
        <v>46274.0</v>
      </c>
      <c r="B59" s="15" t="s">
        <v>43</v>
      </c>
      <c r="C59" s="15" t="s">
        <v>22</v>
      </c>
      <c r="D59" s="15">
        <v>16.0</v>
      </c>
      <c r="E59" s="16">
        <v>14950.0</v>
      </c>
      <c r="F59" s="17">
        <f t="shared" si="7"/>
        <v>239200</v>
      </c>
      <c r="G59" s="16">
        <v>1649.76</v>
      </c>
      <c r="H59" s="16">
        <f t="shared" si="2"/>
        <v>240849.76</v>
      </c>
      <c r="I59" s="16">
        <v>1550.0</v>
      </c>
      <c r="J59" s="40">
        <f t="shared" si="10"/>
        <v>155.3869419</v>
      </c>
      <c r="K59" s="41">
        <f>IFERROR(__xludf.DUMMYFUNCTION("IFERROR(GOOGLEFINANCE(""BCBA:"" &amp; B59, ""price""), GOOGLEFINANCE(B59, ""price""))"),15260.0)</f>
        <v>15260</v>
      </c>
      <c r="L59" s="17">
        <f t="shared" si="6"/>
        <v>244160</v>
      </c>
      <c r="M59" s="17">
        <f t="shared" si="9"/>
        <v>3310.24</v>
      </c>
      <c r="N59" s="19">
        <f t="shared" si="5"/>
        <v>0.01383879599</v>
      </c>
    </row>
    <row r="60" ht="15.75" customHeight="1">
      <c r="A60" s="36">
        <v>46274.0</v>
      </c>
      <c r="B60" s="15" t="s">
        <v>65</v>
      </c>
      <c r="C60" s="15" t="s">
        <v>22</v>
      </c>
      <c r="D60" s="15">
        <v>8.0</v>
      </c>
      <c r="E60" s="16">
        <v>16900.0</v>
      </c>
      <c r="F60" s="17">
        <f t="shared" si="7"/>
        <v>135200</v>
      </c>
      <c r="G60" s="16">
        <v>932.47</v>
      </c>
      <c r="H60" s="16">
        <f t="shared" si="2"/>
        <v>136132.47</v>
      </c>
      <c r="I60" s="16">
        <v>1550.0</v>
      </c>
      <c r="J60" s="40">
        <f t="shared" si="10"/>
        <v>87.8274</v>
      </c>
      <c r="K60" s="41">
        <f>IFERROR(__xludf.DUMMYFUNCTION("IFERROR(GOOGLEFINANCE(""BCBA:"" &amp; B60, ""price""), GOOGLEFINANCE(B60, ""price""))"),15770.0)</f>
        <v>15770</v>
      </c>
      <c r="L60" s="17">
        <f t="shared" si="6"/>
        <v>126160</v>
      </c>
      <c r="M60" s="17">
        <f t="shared" si="9"/>
        <v>-9972.47</v>
      </c>
      <c r="N60" s="19">
        <f t="shared" si="5"/>
        <v>-0.07376087278</v>
      </c>
    </row>
    <row r="61" ht="15.75" customHeight="1">
      <c r="A61" s="36">
        <v>46274.0</v>
      </c>
      <c r="B61" s="15" t="s">
        <v>63</v>
      </c>
      <c r="C61" s="15" t="s">
        <v>22</v>
      </c>
      <c r="D61" s="15">
        <v>13.0</v>
      </c>
      <c r="E61" s="16">
        <v>3772.5</v>
      </c>
      <c r="F61" s="17">
        <f t="shared" si="7"/>
        <v>49042.5</v>
      </c>
      <c r="G61" s="16">
        <v>338.24</v>
      </c>
      <c r="H61" s="16">
        <f t="shared" si="2"/>
        <v>49380.74</v>
      </c>
      <c r="I61" s="16">
        <v>1550.0</v>
      </c>
      <c r="J61" s="40">
        <f t="shared" si="10"/>
        <v>31.85854194</v>
      </c>
      <c r="K61" s="41">
        <f>IFERROR(__xludf.DUMMYFUNCTION("IFERROR(GOOGLEFINANCE(""BCBA:"" &amp; B61, ""price""), GOOGLEFINANCE(B61, ""price""))"),3790.0)</f>
        <v>3790</v>
      </c>
      <c r="L61" s="17">
        <f t="shared" si="6"/>
        <v>49270</v>
      </c>
      <c r="M61" s="17">
        <f t="shared" si="9"/>
        <v>-110.74</v>
      </c>
      <c r="N61" s="19">
        <f t="shared" si="5"/>
        <v>-0.002258041495</v>
      </c>
    </row>
    <row r="62" ht="15.75" customHeight="1">
      <c r="A62" s="36">
        <v>46274.0</v>
      </c>
      <c r="B62" s="15" t="s">
        <v>35</v>
      </c>
      <c r="C62" s="15" t="s">
        <v>22</v>
      </c>
      <c r="D62" s="15">
        <v>7.0</v>
      </c>
      <c r="E62" s="16">
        <v>9275.0</v>
      </c>
      <c r="F62" s="17">
        <f t="shared" si="7"/>
        <v>64925</v>
      </c>
      <c r="G62" s="16">
        <v>447.79</v>
      </c>
      <c r="H62" s="16">
        <f t="shared" si="2"/>
        <v>65372.79</v>
      </c>
      <c r="I62" s="16">
        <v>1550.0</v>
      </c>
      <c r="J62" s="40">
        <f t="shared" si="10"/>
        <v>42.17599355</v>
      </c>
      <c r="K62" s="41">
        <f>IFERROR(__xludf.DUMMYFUNCTION("IFERROR(GOOGLEFINANCE(""BCBA:"" &amp; B62, ""price""), GOOGLEFINANCE(B62, ""price""))"),8575.0)</f>
        <v>8575</v>
      </c>
      <c r="L62" s="17">
        <f t="shared" si="6"/>
        <v>60025</v>
      </c>
      <c r="M62" s="17">
        <f t="shared" si="9"/>
        <v>-5347.79</v>
      </c>
      <c r="N62" s="19">
        <f t="shared" si="5"/>
        <v>-0.08236873315</v>
      </c>
    </row>
    <row r="63" ht="15.75" customHeight="1">
      <c r="A63" s="36">
        <v>46293.0</v>
      </c>
      <c r="B63" s="15" t="s">
        <v>51</v>
      </c>
      <c r="C63" s="15" t="s">
        <v>22</v>
      </c>
      <c r="D63" s="15">
        <v>9.0</v>
      </c>
      <c r="E63" s="16">
        <v>10120.0</v>
      </c>
      <c r="F63" s="17">
        <f t="shared" si="7"/>
        <v>91080</v>
      </c>
      <c r="G63" s="16">
        <v>628.18</v>
      </c>
      <c r="H63" s="16">
        <f t="shared" si="2"/>
        <v>91708.18</v>
      </c>
      <c r="I63" s="16">
        <v>1550.0</v>
      </c>
      <c r="J63" s="40">
        <f t="shared" si="10"/>
        <v>59.16656774</v>
      </c>
      <c r="K63" s="41">
        <f>IFERROR(__xludf.DUMMYFUNCTION("IFERROR(GOOGLEFINANCE(""BCBA:"" &amp; B63, ""price""), GOOGLEFINANCE(B63, ""price""))"),10010.0)</f>
        <v>10010</v>
      </c>
      <c r="L63" s="17">
        <f t="shared" si="6"/>
        <v>90090</v>
      </c>
      <c r="M63" s="17">
        <f t="shared" si="9"/>
        <v>-1618.18</v>
      </c>
      <c r="N63" s="19">
        <f t="shared" si="5"/>
        <v>-0.01776657883</v>
      </c>
    </row>
    <row r="64" ht="15.75" customHeight="1">
      <c r="A64" s="36">
        <v>46293.0</v>
      </c>
      <c r="B64" s="15" t="s">
        <v>51</v>
      </c>
      <c r="C64" s="15" t="s">
        <v>22</v>
      </c>
      <c r="D64" s="15">
        <v>2.0</v>
      </c>
      <c r="E64" s="16">
        <v>10110.0</v>
      </c>
      <c r="F64" s="17">
        <f t="shared" si="7"/>
        <v>20220</v>
      </c>
      <c r="G64" s="16">
        <v>139.49</v>
      </c>
      <c r="H64" s="16">
        <f t="shared" si="2"/>
        <v>20359.49</v>
      </c>
      <c r="I64" s="16">
        <v>1550.0</v>
      </c>
      <c r="J64" s="40">
        <f t="shared" si="10"/>
        <v>13.13515484</v>
      </c>
      <c r="K64" s="41">
        <f>IFERROR(__xludf.DUMMYFUNCTION("IFERROR(GOOGLEFINANCE(""BCBA:"" &amp; B64, ""price""), GOOGLEFINANCE(B64, ""price""))"),10010.0)</f>
        <v>10010</v>
      </c>
      <c r="L64" s="17">
        <f t="shared" si="6"/>
        <v>20020</v>
      </c>
      <c r="M64" s="17">
        <f t="shared" si="9"/>
        <v>-339.49</v>
      </c>
      <c r="N64" s="19">
        <f t="shared" si="5"/>
        <v>-0.01678981207</v>
      </c>
    </row>
    <row r="65" ht="15.75" customHeight="1">
      <c r="A65" s="36">
        <v>46293.0</v>
      </c>
      <c r="B65" s="15" t="s">
        <v>65</v>
      </c>
      <c r="C65" s="15" t="s">
        <v>22</v>
      </c>
      <c r="D65" s="15">
        <v>3.0</v>
      </c>
      <c r="E65" s="16">
        <v>15860.0</v>
      </c>
      <c r="F65" s="17">
        <f t="shared" si="7"/>
        <v>47580</v>
      </c>
      <c r="G65" s="16">
        <v>328.16</v>
      </c>
      <c r="H65" s="16">
        <f t="shared" si="2"/>
        <v>47908.16</v>
      </c>
      <c r="I65" s="16">
        <v>1550.0</v>
      </c>
      <c r="J65" s="40">
        <f t="shared" si="10"/>
        <v>30.90849032</v>
      </c>
      <c r="K65" s="41">
        <f>IFERROR(__xludf.DUMMYFUNCTION("IFERROR(GOOGLEFINANCE(""BCBA:"" &amp; B65, ""price""), GOOGLEFINANCE(B65, ""price""))"),15770.0)</f>
        <v>15770</v>
      </c>
      <c r="L65" s="17">
        <f t="shared" si="6"/>
        <v>47310</v>
      </c>
      <c r="M65" s="17">
        <f t="shared" si="9"/>
        <v>-598.16</v>
      </c>
      <c r="N65" s="19">
        <f t="shared" si="5"/>
        <v>-0.01257166877</v>
      </c>
    </row>
    <row r="66" ht="15.75" customHeight="1">
      <c r="A66" s="36"/>
      <c r="B66" s="15"/>
      <c r="C66" s="15"/>
      <c r="D66" s="15"/>
      <c r="E66" s="16"/>
      <c r="F66" s="16"/>
      <c r="G66" s="16"/>
      <c r="H66" s="16"/>
      <c r="I66" s="16"/>
      <c r="J66" s="40"/>
      <c r="K66" s="41"/>
      <c r="L66" s="17"/>
      <c r="M66" s="17"/>
      <c r="N66" s="19"/>
    </row>
    <row r="67" ht="15.75" customHeight="1">
      <c r="A67" s="36"/>
      <c r="B67" s="15"/>
      <c r="C67" s="15"/>
      <c r="D67" s="15"/>
      <c r="E67" s="16"/>
      <c r="F67" s="16"/>
      <c r="G67" s="16"/>
      <c r="H67" s="16"/>
      <c r="I67" s="16"/>
      <c r="J67" s="40"/>
      <c r="K67" s="41"/>
      <c r="L67" s="17"/>
      <c r="M67" s="17"/>
      <c r="N67" s="19"/>
    </row>
    <row r="68" ht="15.75" customHeight="1">
      <c r="E68" s="39"/>
      <c r="F68" s="39">
        <f t="shared" ref="F68:F321" si="11">D68*E68</f>
        <v>0</v>
      </c>
      <c r="G68" s="45"/>
      <c r="H68" s="29"/>
      <c r="I68" s="7"/>
      <c r="J68" s="7"/>
      <c r="K68" s="44" t="str">
        <f>IFERROR(__xludf.DUMMYFUNCTION("IFERROR(GOOGLEFINANCE(B68,""price""),"""")"),"")</f>
        <v/>
      </c>
      <c r="L68" s="39">
        <f t="shared" ref="L68:L321" si="12">D68*K68</f>
        <v>0</v>
      </c>
      <c r="M68" s="39">
        <f t="shared" ref="M68:M321" si="13">L68-F68</f>
        <v>0</v>
      </c>
      <c r="N68" s="5">
        <f t="shared" ref="N68:N321" si="14">IF(F68&gt;0,M68/F68,0)</f>
        <v>0</v>
      </c>
    </row>
    <row r="69" ht="15.75" customHeight="1">
      <c r="E69" s="39"/>
      <c r="F69" s="39">
        <f t="shared" si="11"/>
        <v>0</v>
      </c>
      <c r="G69" s="45"/>
      <c r="H69" s="29"/>
      <c r="I69" s="7"/>
      <c r="J69" s="7"/>
      <c r="K69" s="44" t="str">
        <f>IFERROR(__xludf.DUMMYFUNCTION("IFERROR(GOOGLEFINANCE(B69,""price""),"""")"),"")</f>
        <v/>
      </c>
      <c r="L69" s="39">
        <f t="shared" si="12"/>
        <v>0</v>
      </c>
      <c r="M69" s="39">
        <f t="shared" si="13"/>
        <v>0</v>
      </c>
      <c r="N69" s="5">
        <f t="shared" si="14"/>
        <v>0</v>
      </c>
    </row>
    <row r="70" ht="15.75" customHeight="1">
      <c r="E70" s="39"/>
      <c r="F70" s="39">
        <f t="shared" si="11"/>
        <v>0</v>
      </c>
      <c r="G70" s="45"/>
      <c r="H70" s="29"/>
      <c r="I70" s="7"/>
      <c r="J70" s="7"/>
      <c r="K70" s="44" t="str">
        <f>IFERROR(__xludf.DUMMYFUNCTION("IFERROR(GOOGLEFINANCE(B70,""price""),"""")"),"")</f>
        <v/>
      </c>
      <c r="L70" s="39">
        <f t="shared" si="12"/>
        <v>0</v>
      </c>
      <c r="M70" s="39">
        <f t="shared" si="13"/>
        <v>0</v>
      </c>
      <c r="N70" s="5">
        <f t="shared" si="14"/>
        <v>0</v>
      </c>
    </row>
    <row r="71" ht="15.75" customHeight="1">
      <c r="E71" s="39"/>
      <c r="F71" s="39">
        <f t="shared" si="11"/>
        <v>0</v>
      </c>
      <c r="G71" s="45"/>
      <c r="H71" s="29"/>
      <c r="I71" s="7"/>
      <c r="J71" s="7"/>
      <c r="K71" s="44" t="str">
        <f>IFERROR(__xludf.DUMMYFUNCTION("IFERROR(GOOGLEFINANCE(B71,""price""),"""")"),"")</f>
        <v/>
      </c>
      <c r="L71" s="39">
        <f t="shared" si="12"/>
        <v>0</v>
      </c>
      <c r="M71" s="39">
        <f t="shared" si="13"/>
        <v>0</v>
      </c>
      <c r="N71" s="5">
        <f t="shared" si="14"/>
        <v>0</v>
      </c>
    </row>
    <row r="72" ht="15.75" customHeight="1">
      <c r="E72" s="39"/>
      <c r="F72" s="39">
        <f t="shared" si="11"/>
        <v>0</v>
      </c>
      <c r="G72" s="45"/>
      <c r="H72" s="29"/>
      <c r="I72" s="7"/>
      <c r="J72" s="7"/>
      <c r="K72" s="44" t="str">
        <f>IFERROR(__xludf.DUMMYFUNCTION("IFERROR(GOOGLEFINANCE(B72,""price""),"""")"),"")</f>
        <v/>
      </c>
      <c r="L72" s="39">
        <f t="shared" si="12"/>
        <v>0</v>
      </c>
      <c r="M72" s="39">
        <f t="shared" si="13"/>
        <v>0</v>
      </c>
      <c r="N72" s="5">
        <f t="shared" si="14"/>
        <v>0</v>
      </c>
    </row>
    <row r="73" ht="15.75" customHeight="1">
      <c r="E73" s="39"/>
      <c r="F73" s="39">
        <f t="shared" si="11"/>
        <v>0</v>
      </c>
      <c r="G73" s="45"/>
      <c r="H73" s="29"/>
      <c r="I73" s="7"/>
      <c r="J73" s="7"/>
      <c r="K73" s="44" t="str">
        <f>IFERROR(__xludf.DUMMYFUNCTION("IFERROR(GOOGLEFINANCE(B73,""price""),"""")"),"")</f>
        <v/>
      </c>
      <c r="L73" s="39">
        <f t="shared" si="12"/>
        <v>0</v>
      </c>
      <c r="M73" s="39">
        <f t="shared" si="13"/>
        <v>0</v>
      </c>
      <c r="N73" s="5">
        <f t="shared" si="14"/>
        <v>0</v>
      </c>
    </row>
    <row r="74" ht="15.75" customHeight="1">
      <c r="E74" s="39"/>
      <c r="F74" s="39">
        <f t="shared" si="11"/>
        <v>0</v>
      </c>
      <c r="G74" s="45"/>
      <c r="H74" s="29"/>
      <c r="I74" s="7"/>
      <c r="J74" s="7"/>
      <c r="K74" s="44" t="str">
        <f>IFERROR(__xludf.DUMMYFUNCTION("IFERROR(GOOGLEFINANCE(B74,""price""),"""")"),"")</f>
        <v/>
      </c>
      <c r="L74" s="39">
        <f t="shared" si="12"/>
        <v>0</v>
      </c>
      <c r="M74" s="39">
        <f t="shared" si="13"/>
        <v>0</v>
      </c>
      <c r="N74" s="5">
        <f t="shared" si="14"/>
        <v>0</v>
      </c>
    </row>
    <row r="75" ht="15.75" customHeight="1">
      <c r="E75" s="39"/>
      <c r="F75" s="39">
        <f t="shared" si="11"/>
        <v>0</v>
      </c>
      <c r="G75" s="45"/>
      <c r="H75" s="29"/>
      <c r="I75" s="7"/>
      <c r="J75" s="7"/>
      <c r="K75" s="44" t="str">
        <f>IFERROR(__xludf.DUMMYFUNCTION("IFERROR(GOOGLEFINANCE(B75,""price""),"""")"),"")</f>
        <v/>
      </c>
      <c r="L75" s="39">
        <f t="shared" si="12"/>
        <v>0</v>
      </c>
      <c r="M75" s="39">
        <f t="shared" si="13"/>
        <v>0</v>
      </c>
      <c r="N75" s="5">
        <f t="shared" si="14"/>
        <v>0</v>
      </c>
    </row>
    <row r="76" ht="15.75" customHeight="1">
      <c r="E76" s="39"/>
      <c r="F76" s="39">
        <f t="shared" si="11"/>
        <v>0</v>
      </c>
      <c r="G76" s="45"/>
      <c r="H76" s="29"/>
      <c r="I76" s="7"/>
      <c r="J76" s="7"/>
      <c r="K76" s="44" t="str">
        <f>IFERROR(__xludf.DUMMYFUNCTION("IFERROR(GOOGLEFINANCE(B76,""price""),"""")"),"")</f>
        <v/>
      </c>
      <c r="L76" s="39">
        <f t="shared" si="12"/>
        <v>0</v>
      </c>
      <c r="M76" s="39">
        <f t="shared" si="13"/>
        <v>0</v>
      </c>
      <c r="N76" s="5">
        <f t="shared" si="14"/>
        <v>0</v>
      </c>
    </row>
    <row r="77" ht="15.75" customHeight="1">
      <c r="E77" s="39"/>
      <c r="F77" s="39">
        <f t="shared" si="11"/>
        <v>0</v>
      </c>
      <c r="G77" s="45"/>
      <c r="H77" s="29"/>
      <c r="I77" s="7"/>
      <c r="J77" s="7"/>
      <c r="K77" s="44" t="str">
        <f>IFERROR(__xludf.DUMMYFUNCTION("IFERROR(GOOGLEFINANCE(B77,""price""),"""")"),"")</f>
        <v/>
      </c>
      <c r="L77" s="39">
        <f t="shared" si="12"/>
        <v>0</v>
      </c>
      <c r="M77" s="39">
        <f t="shared" si="13"/>
        <v>0</v>
      </c>
      <c r="N77" s="5">
        <f t="shared" si="14"/>
        <v>0</v>
      </c>
    </row>
    <row r="78" ht="15.75" customHeight="1">
      <c r="E78" s="39"/>
      <c r="F78" s="39">
        <f t="shared" si="11"/>
        <v>0</v>
      </c>
      <c r="G78" s="45"/>
      <c r="H78" s="29"/>
      <c r="I78" s="7"/>
      <c r="J78" s="7"/>
      <c r="K78" s="44" t="str">
        <f>IFERROR(__xludf.DUMMYFUNCTION("IFERROR(GOOGLEFINANCE(B78,""price""),"""")"),"")</f>
        <v/>
      </c>
      <c r="L78" s="39">
        <f t="shared" si="12"/>
        <v>0</v>
      </c>
      <c r="M78" s="39">
        <f t="shared" si="13"/>
        <v>0</v>
      </c>
      <c r="N78" s="5">
        <f t="shared" si="14"/>
        <v>0</v>
      </c>
    </row>
    <row r="79" ht="15.75" customHeight="1">
      <c r="E79" s="39"/>
      <c r="F79" s="39">
        <f t="shared" si="11"/>
        <v>0</v>
      </c>
      <c r="G79" s="45"/>
      <c r="H79" s="29"/>
      <c r="I79" s="7"/>
      <c r="J79" s="7"/>
      <c r="K79" s="44" t="str">
        <f>IFERROR(__xludf.DUMMYFUNCTION("IFERROR(GOOGLEFINANCE(B79,""price""),"""")"),"")</f>
        <v/>
      </c>
      <c r="L79" s="39">
        <f t="shared" si="12"/>
        <v>0</v>
      </c>
      <c r="M79" s="39">
        <f t="shared" si="13"/>
        <v>0</v>
      </c>
      <c r="N79" s="5">
        <f t="shared" si="14"/>
        <v>0</v>
      </c>
    </row>
    <row r="80" ht="15.75" customHeight="1">
      <c r="E80" s="39"/>
      <c r="F80" s="39">
        <f t="shared" si="11"/>
        <v>0</v>
      </c>
      <c r="G80" s="45"/>
      <c r="H80" s="29"/>
      <c r="I80" s="7"/>
      <c r="J80" s="7"/>
      <c r="K80" s="44" t="str">
        <f>IFERROR(__xludf.DUMMYFUNCTION("IFERROR(GOOGLEFINANCE(B80,""price""),"""")"),"")</f>
        <v/>
      </c>
      <c r="L80" s="39">
        <f t="shared" si="12"/>
        <v>0</v>
      </c>
      <c r="M80" s="39">
        <f t="shared" si="13"/>
        <v>0</v>
      </c>
      <c r="N80" s="5">
        <f t="shared" si="14"/>
        <v>0</v>
      </c>
    </row>
    <row r="81" ht="15.75" customHeight="1">
      <c r="E81" s="39"/>
      <c r="F81" s="39">
        <f t="shared" si="11"/>
        <v>0</v>
      </c>
      <c r="G81" s="45"/>
      <c r="H81" s="29"/>
      <c r="I81" s="7"/>
      <c r="J81" s="7"/>
      <c r="K81" s="44" t="str">
        <f>IFERROR(__xludf.DUMMYFUNCTION("IFERROR(GOOGLEFINANCE(B81,""price""),"""")"),"")</f>
        <v/>
      </c>
      <c r="L81" s="39">
        <f t="shared" si="12"/>
        <v>0</v>
      </c>
      <c r="M81" s="39">
        <f t="shared" si="13"/>
        <v>0</v>
      </c>
      <c r="N81" s="5">
        <f t="shared" si="14"/>
        <v>0</v>
      </c>
    </row>
    <row r="82" ht="15.75" customHeight="1">
      <c r="E82" s="39"/>
      <c r="F82" s="39">
        <f t="shared" si="11"/>
        <v>0</v>
      </c>
      <c r="G82" s="45"/>
      <c r="H82" s="29"/>
      <c r="I82" s="7"/>
      <c r="J82" s="7"/>
      <c r="K82" s="44" t="str">
        <f>IFERROR(__xludf.DUMMYFUNCTION("IFERROR(GOOGLEFINANCE(B82,""price""),"""")"),"")</f>
        <v/>
      </c>
      <c r="L82" s="39">
        <f t="shared" si="12"/>
        <v>0</v>
      </c>
      <c r="M82" s="39">
        <f t="shared" si="13"/>
        <v>0</v>
      </c>
      <c r="N82" s="5">
        <f t="shared" si="14"/>
        <v>0</v>
      </c>
    </row>
    <row r="83" ht="15.75" customHeight="1">
      <c r="E83" s="39"/>
      <c r="F83" s="39">
        <f t="shared" si="11"/>
        <v>0</v>
      </c>
      <c r="G83" s="45"/>
      <c r="H83" s="29"/>
      <c r="I83" s="7"/>
      <c r="J83" s="7"/>
      <c r="K83" s="44" t="str">
        <f>IFERROR(__xludf.DUMMYFUNCTION("IFERROR(GOOGLEFINANCE(B83,""price""),"""")"),"")</f>
        <v/>
      </c>
      <c r="L83" s="39">
        <f t="shared" si="12"/>
        <v>0</v>
      </c>
      <c r="M83" s="39">
        <f t="shared" si="13"/>
        <v>0</v>
      </c>
      <c r="N83" s="5">
        <f t="shared" si="14"/>
        <v>0</v>
      </c>
    </row>
    <row r="84" ht="15.75" customHeight="1">
      <c r="E84" s="39"/>
      <c r="F84" s="39">
        <f t="shared" si="11"/>
        <v>0</v>
      </c>
      <c r="G84" s="45"/>
      <c r="H84" s="29"/>
      <c r="I84" s="7"/>
      <c r="J84" s="7"/>
      <c r="K84" s="44" t="str">
        <f>IFERROR(__xludf.DUMMYFUNCTION("IFERROR(GOOGLEFINANCE(B84,""price""),"""")"),"")</f>
        <v/>
      </c>
      <c r="L84" s="39">
        <f t="shared" si="12"/>
        <v>0</v>
      </c>
      <c r="M84" s="39">
        <f t="shared" si="13"/>
        <v>0</v>
      </c>
      <c r="N84" s="5">
        <f t="shared" si="14"/>
        <v>0</v>
      </c>
    </row>
    <row r="85" ht="15.75" customHeight="1">
      <c r="E85" s="39"/>
      <c r="F85" s="39">
        <f t="shared" si="11"/>
        <v>0</v>
      </c>
      <c r="G85" s="45"/>
      <c r="H85" s="29"/>
      <c r="I85" s="7"/>
      <c r="J85" s="7"/>
      <c r="K85" s="44" t="str">
        <f>IFERROR(__xludf.DUMMYFUNCTION("IFERROR(GOOGLEFINANCE(B85,""price""),"""")"),"")</f>
        <v/>
      </c>
      <c r="L85" s="39">
        <f t="shared" si="12"/>
        <v>0</v>
      </c>
      <c r="M85" s="39">
        <f t="shared" si="13"/>
        <v>0</v>
      </c>
      <c r="N85" s="5">
        <f t="shared" si="14"/>
        <v>0</v>
      </c>
    </row>
    <row r="86" ht="15.75" customHeight="1">
      <c r="E86" s="39"/>
      <c r="F86" s="39">
        <f t="shared" si="11"/>
        <v>0</v>
      </c>
      <c r="G86" s="45"/>
      <c r="H86" s="29"/>
      <c r="I86" s="7"/>
      <c r="J86" s="7"/>
      <c r="K86" s="44" t="str">
        <f>IFERROR(__xludf.DUMMYFUNCTION("IFERROR(GOOGLEFINANCE(B86,""price""),"""")"),"")</f>
        <v/>
      </c>
      <c r="L86" s="39">
        <f t="shared" si="12"/>
        <v>0</v>
      </c>
      <c r="M86" s="39">
        <f t="shared" si="13"/>
        <v>0</v>
      </c>
      <c r="N86" s="5">
        <f t="shared" si="14"/>
        <v>0</v>
      </c>
    </row>
    <row r="87" ht="15.75" customHeight="1">
      <c r="E87" s="39"/>
      <c r="F87" s="39">
        <f t="shared" si="11"/>
        <v>0</v>
      </c>
      <c r="G87" s="45"/>
      <c r="H87" s="29"/>
      <c r="I87" s="7"/>
      <c r="J87" s="7"/>
      <c r="K87" s="44" t="str">
        <f>IFERROR(__xludf.DUMMYFUNCTION("IFERROR(GOOGLEFINANCE(B87,""price""),"""")"),"")</f>
        <v/>
      </c>
      <c r="L87" s="39">
        <f t="shared" si="12"/>
        <v>0</v>
      </c>
      <c r="M87" s="39">
        <f t="shared" si="13"/>
        <v>0</v>
      </c>
      <c r="N87" s="5">
        <f t="shared" si="14"/>
        <v>0</v>
      </c>
    </row>
    <row r="88" ht="15.75" customHeight="1">
      <c r="E88" s="39"/>
      <c r="F88" s="39">
        <f t="shared" si="11"/>
        <v>0</v>
      </c>
      <c r="G88" s="45"/>
      <c r="H88" s="29"/>
      <c r="I88" s="7"/>
      <c r="J88" s="7"/>
      <c r="K88" s="44" t="str">
        <f>IFERROR(__xludf.DUMMYFUNCTION("IFERROR(GOOGLEFINANCE(B88,""price""),"""")"),"")</f>
        <v/>
      </c>
      <c r="L88" s="39">
        <f t="shared" si="12"/>
        <v>0</v>
      </c>
      <c r="M88" s="39">
        <f t="shared" si="13"/>
        <v>0</v>
      </c>
      <c r="N88" s="5">
        <f t="shared" si="14"/>
        <v>0</v>
      </c>
    </row>
    <row r="89" ht="15.75" customHeight="1">
      <c r="E89" s="39"/>
      <c r="F89" s="39">
        <f t="shared" si="11"/>
        <v>0</v>
      </c>
      <c r="G89" s="45"/>
      <c r="H89" s="29"/>
      <c r="I89" s="7"/>
      <c r="J89" s="7"/>
      <c r="K89" s="44" t="str">
        <f>IFERROR(__xludf.DUMMYFUNCTION("IFERROR(GOOGLEFINANCE(B89,""price""),"""")"),"")</f>
        <v/>
      </c>
      <c r="L89" s="39">
        <f t="shared" si="12"/>
        <v>0</v>
      </c>
      <c r="M89" s="39">
        <f t="shared" si="13"/>
        <v>0</v>
      </c>
      <c r="N89" s="5">
        <f t="shared" si="14"/>
        <v>0</v>
      </c>
    </row>
    <row r="90" ht="15.75" customHeight="1">
      <c r="E90" s="39"/>
      <c r="F90" s="39">
        <f t="shared" si="11"/>
        <v>0</v>
      </c>
      <c r="G90" s="45"/>
      <c r="H90" s="29"/>
      <c r="I90" s="7"/>
      <c r="J90" s="7"/>
      <c r="K90" s="44" t="str">
        <f>IFERROR(__xludf.DUMMYFUNCTION("IFERROR(GOOGLEFINANCE(B90,""price""),"""")"),"")</f>
        <v/>
      </c>
      <c r="L90" s="39">
        <f t="shared" si="12"/>
        <v>0</v>
      </c>
      <c r="M90" s="39">
        <f t="shared" si="13"/>
        <v>0</v>
      </c>
      <c r="N90" s="5">
        <f t="shared" si="14"/>
        <v>0</v>
      </c>
    </row>
    <row r="91" ht="15.75" customHeight="1">
      <c r="E91" s="39"/>
      <c r="F91" s="39">
        <f t="shared" si="11"/>
        <v>0</v>
      </c>
      <c r="G91" s="45"/>
      <c r="H91" s="29"/>
      <c r="I91" s="7"/>
      <c r="J91" s="7"/>
      <c r="K91" s="44" t="str">
        <f>IFERROR(__xludf.DUMMYFUNCTION("IFERROR(GOOGLEFINANCE(B91,""price""),"""")"),"")</f>
        <v/>
      </c>
      <c r="L91" s="39">
        <f t="shared" si="12"/>
        <v>0</v>
      </c>
      <c r="M91" s="39">
        <f t="shared" si="13"/>
        <v>0</v>
      </c>
      <c r="N91" s="5">
        <f t="shared" si="14"/>
        <v>0</v>
      </c>
    </row>
    <row r="92" ht="15.75" customHeight="1">
      <c r="E92" s="39"/>
      <c r="F92" s="39">
        <f t="shared" si="11"/>
        <v>0</v>
      </c>
      <c r="G92" s="45"/>
      <c r="H92" s="29"/>
      <c r="I92" s="7"/>
      <c r="J92" s="7"/>
      <c r="K92" s="44" t="str">
        <f>IFERROR(__xludf.DUMMYFUNCTION("IFERROR(GOOGLEFINANCE(B92,""price""),"""")"),"")</f>
        <v/>
      </c>
      <c r="L92" s="39">
        <f t="shared" si="12"/>
        <v>0</v>
      </c>
      <c r="M92" s="39">
        <f t="shared" si="13"/>
        <v>0</v>
      </c>
      <c r="N92" s="5">
        <f t="shared" si="14"/>
        <v>0</v>
      </c>
    </row>
    <row r="93" ht="15.75" customHeight="1">
      <c r="E93" s="39"/>
      <c r="F93" s="39">
        <f t="shared" si="11"/>
        <v>0</v>
      </c>
      <c r="G93" s="45"/>
      <c r="H93" s="29"/>
      <c r="I93" s="7"/>
      <c r="J93" s="7"/>
      <c r="K93" s="44" t="str">
        <f>IFERROR(__xludf.DUMMYFUNCTION("IFERROR(GOOGLEFINANCE(B93,""price""),"""")"),"")</f>
        <v/>
      </c>
      <c r="L93" s="39">
        <f t="shared" si="12"/>
        <v>0</v>
      </c>
      <c r="M93" s="39">
        <f t="shared" si="13"/>
        <v>0</v>
      </c>
      <c r="N93" s="5">
        <f t="shared" si="14"/>
        <v>0</v>
      </c>
    </row>
    <row r="94" ht="15.75" customHeight="1">
      <c r="E94" s="39"/>
      <c r="F94" s="39">
        <f t="shared" si="11"/>
        <v>0</v>
      </c>
      <c r="G94" s="45"/>
      <c r="H94" s="29"/>
      <c r="I94" s="7"/>
      <c r="J94" s="7"/>
      <c r="K94" s="44" t="str">
        <f>IFERROR(__xludf.DUMMYFUNCTION("IFERROR(GOOGLEFINANCE(B94,""price""),"""")"),"")</f>
        <v/>
      </c>
      <c r="L94" s="39">
        <f t="shared" si="12"/>
        <v>0</v>
      </c>
      <c r="M94" s="39">
        <f t="shared" si="13"/>
        <v>0</v>
      </c>
      <c r="N94" s="5">
        <f t="shared" si="14"/>
        <v>0</v>
      </c>
    </row>
    <row r="95" ht="15.75" customHeight="1">
      <c r="E95" s="39"/>
      <c r="F95" s="39">
        <f t="shared" si="11"/>
        <v>0</v>
      </c>
      <c r="G95" s="45"/>
      <c r="H95" s="29"/>
      <c r="I95" s="7"/>
      <c r="J95" s="7"/>
      <c r="K95" s="44" t="str">
        <f>IFERROR(__xludf.DUMMYFUNCTION("IFERROR(GOOGLEFINANCE(B95,""price""),"""")"),"")</f>
        <v/>
      </c>
      <c r="L95" s="39">
        <f t="shared" si="12"/>
        <v>0</v>
      </c>
      <c r="M95" s="39">
        <f t="shared" si="13"/>
        <v>0</v>
      </c>
      <c r="N95" s="5">
        <f t="shared" si="14"/>
        <v>0</v>
      </c>
    </row>
    <row r="96" ht="15.75" customHeight="1">
      <c r="E96" s="39"/>
      <c r="F96" s="39">
        <f t="shared" si="11"/>
        <v>0</v>
      </c>
      <c r="G96" s="45"/>
      <c r="H96" s="29"/>
      <c r="I96" s="7"/>
      <c r="J96" s="7"/>
      <c r="K96" s="44" t="str">
        <f>IFERROR(__xludf.DUMMYFUNCTION("IFERROR(GOOGLEFINANCE(B96,""price""),"""")"),"")</f>
        <v/>
      </c>
      <c r="L96" s="39">
        <f t="shared" si="12"/>
        <v>0</v>
      </c>
      <c r="M96" s="39">
        <f t="shared" si="13"/>
        <v>0</v>
      </c>
      <c r="N96" s="5">
        <f t="shared" si="14"/>
        <v>0</v>
      </c>
    </row>
    <row r="97" ht="15.75" customHeight="1">
      <c r="E97" s="39"/>
      <c r="F97" s="39">
        <f t="shared" si="11"/>
        <v>0</v>
      </c>
      <c r="G97" s="45"/>
      <c r="H97" s="29"/>
      <c r="I97" s="7"/>
      <c r="J97" s="7"/>
      <c r="K97" s="44" t="str">
        <f>IFERROR(__xludf.DUMMYFUNCTION("IFERROR(GOOGLEFINANCE(B97,""price""),"""")"),"")</f>
        <v/>
      </c>
      <c r="L97" s="39">
        <f t="shared" si="12"/>
        <v>0</v>
      </c>
      <c r="M97" s="39">
        <f t="shared" si="13"/>
        <v>0</v>
      </c>
      <c r="N97" s="5">
        <f t="shared" si="14"/>
        <v>0</v>
      </c>
    </row>
    <row r="98" ht="15.75" customHeight="1">
      <c r="E98" s="39"/>
      <c r="F98" s="39">
        <f t="shared" si="11"/>
        <v>0</v>
      </c>
      <c r="G98" s="45"/>
      <c r="H98" s="29"/>
      <c r="I98" s="7"/>
      <c r="J98" s="7"/>
      <c r="K98" s="44" t="str">
        <f>IFERROR(__xludf.DUMMYFUNCTION("IFERROR(GOOGLEFINANCE(B98,""price""),"""")"),"")</f>
        <v/>
      </c>
      <c r="L98" s="39">
        <f t="shared" si="12"/>
        <v>0</v>
      </c>
      <c r="M98" s="39">
        <f t="shared" si="13"/>
        <v>0</v>
      </c>
      <c r="N98" s="5">
        <f t="shared" si="14"/>
        <v>0</v>
      </c>
    </row>
    <row r="99" ht="15.75" customHeight="1">
      <c r="E99" s="39"/>
      <c r="F99" s="39">
        <f t="shared" si="11"/>
        <v>0</v>
      </c>
      <c r="G99" s="45"/>
      <c r="H99" s="29"/>
      <c r="I99" s="7"/>
      <c r="J99" s="7"/>
      <c r="K99" s="44" t="str">
        <f>IFERROR(__xludf.DUMMYFUNCTION("IFERROR(GOOGLEFINANCE(B99,""price""),"""")"),"")</f>
        <v/>
      </c>
      <c r="L99" s="39">
        <f t="shared" si="12"/>
        <v>0</v>
      </c>
      <c r="M99" s="39">
        <f t="shared" si="13"/>
        <v>0</v>
      </c>
      <c r="N99" s="5">
        <f t="shared" si="14"/>
        <v>0</v>
      </c>
    </row>
    <row r="100" ht="15.75" customHeight="1">
      <c r="E100" s="39"/>
      <c r="F100" s="39">
        <f t="shared" si="11"/>
        <v>0</v>
      </c>
      <c r="G100" s="45"/>
      <c r="H100" s="29"/>
      <c r="I100" s="7"/>
      <c r="J100" s="7"/>
      <c r="K100" s="44" t="str">
        <f>IFERROR(__xludf.DUMMYFUNCTION("IFERROR(GOOGLEFINANCE(B100,""price""),"""")"),"")</f>
        <v/>
      </c>
      <c r="L100" s="39">
        <f t="shared" si="12"/>
        <v>0</v>
      </c>
      <c r="M100" s="39">
        <f t="shared" si="13"/>
        <v>0</v>
      </c>
      <c r="N100" s="5">
        <f t="shared" si="14"/>
        <v>0</v>
      </c>
    </row>
    <row r="101" ht="15.75" customHeight="1">
      <c r="E101" s="39"/>
      <c r="F101" s="39">
        <f t="shared" si="11"/>
        <v>0</v>
      </c>
      <c r="G101" s="45"/>
      <c r="H101" s="29"/>
      <c r="I101" s="7"/>
      <c r="J101" s="7"/>
      <c r="K101" s="44" t="str">
        <f>IFERROR(__xludf.DUMMYFUNCTION("IFERROR(GOOGLEFINANCE(B101,""price""),"""")"),"")</f>
        <v/>
      </c>
      <c r="L101" s="39">
        <f t="shared" si="12"/>
        <v>0</v>
      </c>
      <c r="M101" s="39">
        <f t="shared" si="13"/>
        <v>0</v>
      </c>
      <c r="N101" s="5">
        <f t="shared" si="14"/>
        <v>0</v>
      </c>
    </row>
    <row r="102" ht="15.75" customHeight="1">
      <c r="E102" s="39"/>
      <c r="F102" s="39">
        <f t="shared" si="11"/>
        <v>0</v>
      </c>
      <c r="G102" s="45"/>
      <c r="H102" s="29"/>
      <c r="I102" s="7"/>
      <c r="J102" s="7"/>
      <c r="K102" s="44" t="str">
        <f>IFERROR(__xludf.DUMMYFUNCTION("IFERROR(GOOGLEFINANCE(B102,""price""),"""")"),"")</f>
        <v/>
      </c>
      <c r="L102" s="39">
        <f t="shared" si="12"/>
        <v>0</v>
      </c>
      <c r="M102" s="39">
        <f t="shared" si="13"/>
        <v>0</v>
      </c>
      <c r="N102" s="5">
        <f t="shared" si="14"/>
        <v>0</v>
      </c>
    </row>
    <row r="103" ht="15.75" customHeight="1">
      <c r="E103" s="39"/>
      <c r="F103" s="39">
        <f t="shared" si="11"/>
        <v>0</v>
      </c>
      <c r="G103" s="45"/>
      <c r="H103" s="29"/>
      <c r="I103" s="7"/>
      <c r="J103" s="7"/>
      <c r="K103" s="44" t="str">
        <f>IFERROR(__xludf.DUMMYFUNCTION("IFERROR(GOOGLEFINANCE(B103,""price""),"""")"),"")</f>
        <v/>
      </c>
      <c r="L103" s="39">
        <f t="shared" si="12"/>
        <v>0</v>
      </c>
      <c r="M103" s="39">
        <f t="shared" si="13"/>
        <v>0</v>
      </c>
      <c r="N103" s="5">
        <f t="shared" si="14"/>
        <v>0</v>
      </c>
    </row>
    <row r="104" ht="15.75" customHeight="1">
      <c r="E104" s="39"/>
      <c r="F104" s="39">
        <f t="shared" si="11"/>
        <v>0</v>
      </c>
      <c r="G104" s="45"/>
      <c r="H104" s="29"/>
      <c r="I104" s="7"/>
      <c r="J104" s="7"/>
      <c r="K104" s="44" t="str">
        <f>IFERROR(__xludf.DUMMYFUNCTION("IFERROR(GOOGLEFINANCE(B104,""price""),"""")"),"")</f>
        <v/>
      </c>
      <c r="L104" s="39">
        <f t="shared" si="12"/>
        <v>0</v>
      </c>
      <c r="M104" s="39">
        <f t="shared" si="13"/>
        <v>0</v>
      </c>
      <c r="N104" s="5">
        <f t="shared" si="14"/>
        <v>0</v>
      </c>
    </row>
    <row r="105" ht="15.75" customHeight="1">
      <c r="E105" s="39"/>
      <c r="F105" s="39">
        <f t="shared" si="11"/>
        <v>0</v>
      </c>
      <c r="G105" s="45"/>
      <c r="H105" s="29"/>
      <c r="I105" s="7"/>
      <c r="J105" s="7"/>
      <c r="K105" s="44" t="str">
        <f>IFERROR(__xludf.DUMMYFUNCTION("IFERROR(GOOGLEFINANCE(B105,""price""),"""")"),"")</f>
        <v/>
      </c>
      <c r="L105" s="39">
        <f t="shared" si="12"/>
        <v>0</v>
      </c>
      <c r="M105" s="39">
        <f t="shared" si="13"/>
        <v>0</v>
      </c>
      <c r="N105" s="5">
        <f t="shared" si="14"/>
        <v>0</v>
      </c>
    </row>
    <row r="106" ht="15.75" customHeight="1">
      <c r="E106" s="39"/>
      <c r="F106" s="39">
        <f t="shared" si="11"/>
        <v>0</v>
      </c>
      <c r="G106" s="45"/>
      <c r="H106" s="29"/>
      <c r="I106" s="7"/>
      <c r="J106" s="7"/>
      <c r="K106" s="44" t="str">
        <f>IFERROR(__xludf.DUMMYFUNCTION("IFERROR(GOOGLEFINANCE(B106,""price""),"""")"),"")</f>
        <v/>
      </c>
      <c r="L106" s="39">
        <f t="shared" si="12"/>
        <v>0</v>
      </c>
      <c r="M106" s="39">
        <f t="shared" si="13"/>
        <v>0</v>
      </c>
      <c r="N106" s="5">
        <f t="shared" si="14"/>
        <v>0</v>
      </c>
    </row>
    <row r="107" ht="15.75" customHeight="1">
      <c r="E107" s="39"/>
      <c r="F107" s="39">
        <f t="shared" si="11"/>
        <v>0</v>
      </c>
      <c r="G107" s="45"/>
      <c r="H107" s="29"/>
      <c r="I107" s="7"/>
      <c r="J107" s="7"/>
      <c r="K107" s="44" t="str">
        <f>IFERROR(__xludf.DUMMYFUNCTION("IFERROR(GOOGLEFINANCE(B107,""price""),"""")"),"")</f>
        <v/>
      </c>
      <c r="L107" s="39">
        <f t="shared" si="12"/>
        <v>0</v>
      </c>
      <c r="M107" s="39">
        <f t="shared" si="13"/>
        <v>0</v>
      </c>
      <c r="N107" s="5">
        <f t="shared" si="14"/>
        <v>0</v>
      </c>
    </row>
    <row r="108" ht="15.75" customHeight="1">
      <c r="E108" s="39"/>
      <c r="F108" s="39">
        <f t="shared" si="11"/>
        <v>0</v>
      </c>
      <c r="G108" s="45"/>
      <c r="H108" s="29"/>
      <c r="I108" s="7"/>
      <c r="J108" s="7"/>
      <c r="K108" s="44" t="str">
        <f>IFERROR(__xludf.DUMMYFUNCTION("IFERROR(GOOGLEFINANCE(B108,""price""),"""")"),"")</f>
        <v/>
      </c>
      <c r="L108" s="39">
        <f t="shared" si="12"/>
        <v>0</v>
      </c>
      <c r="M108" s="39">
        <f t="shared" si="13"/>
        <v>0</v>
      </c>
      <c r="N108" s="5">
        <f t="shared" si="14"/>
        <v>0</v>
      </c>
    </row>
    <row r="109" ht="15.75" customHeight="1">
      <c r="E109" s="39"/>
      <c r="F109" s="39">
        <f t="shared" si="11"/>
        <v>0</v>
      </c>
      <c r="G109" s="45"/>
      <c r="H109" s="29"/>
      <c r="I109" s="7"/>
      <c r="J109" s="7"/>
      <c r="K109" s="44" t="str">
        <f>IFERROR(__xludf.DUMMYFUNCTION("IFERROR(GOOGLEFINANCE(B109,""price""),"""")"),"")</f>
        <v/>
      </c>
      <c r="L109" s="39">
        <f t="shared" si="12"/>
        <v>0</v>
      </c>
      <c r="M109" s="39">
        <f t="shared" si="13"/>
        <v>0</v>
      </c>
      <c r="N109" s="5">
        <f t="shared" si="14"/>
        <v>0</v>
      </c>
    </row>
    <row r="110" ht="15.75" customHeight="1">
      <c r="E110" s="39"/>
      <c r="F110" s="39">
        <f t="shared" si="11"/>
        <v>0</v>
      </c>
      <c r="G110" s="45"/>
      <c r="H110" s="29"/>
      <c r="I110" s="7"/>
      <c r="J110" s="7"/>
      <c r="K110" s="44" t="str">
        <f>IFERROR(__xludf.DUMMYFUNCTION("IFERROR(GOOGLEFINANCE(B110,""price""),"""")"),"")</f>
        <v/>
      </c>
      <c r="L110" s="39">
        <f t="shared" si="12"/>
        <v>0</v>
      </c>
      <c r="M110" s="39">
        <f t="shared" si="13"/>
        <v>0</v>
      </c>
      <c r="N110" s="5">
        <f t="shared" si="14"/>
        <v>0</v>
      </c>
    </row>
    <row r="111" ht="15.75" customHeight="1">
      <c r="E111" s="39"/>
      <c r="F111" s="39">
        <f t="shared" si="11"/>
        <v>0</v>
      </c>
      <c r="G111" s="45"/>
      <c r="H111" s="29"/>
      <c r="I111" s="7"/>
      <c r="J111" s="7"/>
      <c r="K111" s="44" t="str">
        <f>IFERROR(__xludf.DUMMYFUNCTION("IFERROR(GOOGLEFINANCE(B111,""price""),"""")"),"")</f>
        <v/>
      </c>
      <c r="L111" s="39">
        <f t="shared" si="12"/>
        <v>0</v>
      </c>
      <c r="M111" s="39">
        <f t="shared" si="13"/>
        <v>0</v>
      </c>
      <c r="N111" s="5">
        <f t="shared" si="14"/>
        <v>0</v>
      </c>
    </row>
    <row r="112" ht="15.75" customHeight="1">
      <c r="E112" s="39"/>
      <c r="F112" s="39">
        <f t="shared" si="11"/>
        <v>0</v>
      </c>
      <c r="G112" s="45"/>
      <c r="H112" s="29"/>
      <c r="I112" s="7"/>
      <c r="J112" s="7"/>
      <c r="K112" s="44" t="str">
        <f>IFERROR(__xludf.DUMMYFUNCTION("IFERROR(GOOGLEFINANCE(B112,""price""),"""")"),"")</f>
        <v/>
      </c>
      <c r="L112" s="39">
        <f t="shared" si="12"/>
        <v>0</v>
      </c>
      <c r="M112" s="39">
        <f t="shared" si="13"/>
        <v>0</v>
      </c>
      <c r="N112" s="5">
        <f t="shared" si="14"/>
        <v>0</v>
      </c>
    </row>
    <row r="113" ht="15.75" customHeight="1">
      <c r="E113" s="39"/>
      <c r="F113" s="39">
        <f t="shared" si="11"/>
        <v>0</v>
      </c>
      <c r="G113" s="45"/>
      <c r="H113" s="29"/>
      <c r="I113" s="7"/>
      <c r="J113" s="7"/>
      <c r="K113" s="44" t="str">
        <f>IFERROR(__xludf.DUMMYFUNCTION("IFERROR(GOOGLEFINANCE(B113,""price""),"""")"),"")</f>
        <v/>
      </c>
      <c r="L113" s="39">
        <f t="shared" si="12"/>
        <v>0</v>
      </c>
      <c r="M113" s="39">
        <f t="shared" si="13"/>
        <v>0</v>
      </c>
      <c r="N113" s="5">
        <f t="shared" si="14"/>
        <v>0</v>
      </c>
    </row>
    <row r="114" ht="15.75" customHeight="1">
      <c r="E114" s="39"/>
      <c r="F114" s="39">
        <f t="shared" si="11"/>
        <v>0</v>
      </c>
      <c r="G114" s="45"/>
      <c r="H114" s="29"/>
      <c r="I114" s="7"/>
      <c r="J114" s="7"/>
      <c r="K114" s="44" t="str">
        <f>IFERROR(__xludf.DUMMYFUNCTION("IFERROR(GOOGLEFINANCE(B114,""price""),"""")"),"")</f>
        <v/>
      </c>
      <c r="L114" s="39">
        <f t="shared" si="12"/>
        <v>0</v>
      </c>
      <c r="M114" s="39">
        <f t="shared" si="13"/>
        <v>0</v>
      </c>
      <c r="N114" s="5">
        <f t="shared" si="14"/>
        <v>0</v>
      </c>
    </row>
    <row r="115" ht="15.75" customHeight="1">
      <c r="E115" s="39"/>
      <c r="F115" s="39">
        <f t="shared" si="11"/>
        <v>0</v>
      </c>
      <c r="G115" s="45"/>
      <c r="H115" s="29"/>
      <c r="I115" s="7"/>
      <c r="J115" s="7"/>
      <c r="K115" s="44" t="str">
        <f>IFERROR(__xludf.DUMMYFUNCTION("IFERROR(GOOGLEFINANCE(B115,""price""),"""")"),"")</f>
        <v/>
      </c>
      <c r="L115" s="39">
        <f t="shared" si="12"/>
        <v>0</v>
      </c>
      <c r="M115" s="39">
        <f t="shared" si="13"/>
        <v>0</v>
      </c>
      <c r="N115" s="5">
        <f t="shared" si="14"/>
        <v>0</v>
      </c>
    </row>
    <row r="116" ht="15.75" customHeight="1">
      <c r="E116" s="39"/>
      <c r="F116" s="39">
        <f t="shared" si="11"/>
        <v>0</v>
      </c>
      <c r="G116" s="45"/>
      <c r="H116" s="29"/>
      <c r="I116" s="7"/>
      <c r="J116" s="7"/>
      <c r="K116" s="44" t="str">
        <f>IFERROR(__xludf.DUMMYFUNCTION("IFERROR(GOOGLEFINANCE(B116,""price""),"""")"),"")</f>
        <v/>
      </c>
      <c r="L116" s="39">
        <f t="shared" si="12"/>
        <v>0</v>
      </c>
      <c r="M116" s="39">
        <f t="shared" si="13"/>
        <v>0</v>
      </c>
      <c r="N116" s="5">
        <f t="shared" si="14"/>
        <v>0</v>
      </c>
    </row>
    <row r="117" ht="15.75" customHeight="1">
      <c r="E117" s="39"/>
      <c r="F117" s="39">
        <f t="shared" si="11"/>
        <v>0</v>
      </c>
      <c r="G117" s="45"/>
      <c r="H117" s="29"/>
      <c r="I117" s="7"/>
      <c r="J117" s="7"/>
      <c r="K117" s="44" t="str">
        <f>IFERROR(__xludf.DUMMYFUNCTION("IFERROR(GOOGLEFINANCE(B117,""price""),"""")"),"")</f>
        <v/>
      </c>
      <c r="L117" s="39">
        <f t="shared" si="12"/>
        <v>0</v>
      </c>
      <c r="M117" s="39">
        <f t="shared" si="13"/>
        <v>0</v>
      </c>
      <c r="N117" s="5">
        <f t="shared" si="14"/>
        <v>0</v>
      </c>
    </row>
    <row r="118" ht="15.75" customHeight="1">
      <c r="E118" s="39"/>
      <c r="F118" s="39">
        <f t="shared" si="11"/>
        <v>0</v>
      </c>
      <c r="G118" s="45"/>
      <c r="H118" s="29"/>
      <c r="I118" s="7"/>
      <c r="J118" s="7"/>
      <c r="K118" s="44" t="str">
        <f>IFERROR(__xludf.DUMMYFUNCTION("IFERROR(GOOGLEFINANCE(B118,""price""),"""")"),"")</f>
        <v/>
      </c>
      <c r="L118" s="39">
        <f t="shared" si="12"/>
        <v>0</v>
      </c>
      <c r="M118" s="39">
        <f t="shared" si="13"/>
        <v>0</v>
      </c>
      <c r="N118" s="5">
        <f t="shared" si="14"/>
        <v>0</v>
      </c>
    </row>
    <row r="119" ht="15.75" customHeight="1">
      <c r="E119" s="39"/>
      <c r="F119" s="39">
        <f t="shared" si="11"/>
        <v>0</v>
      </c>
      <c r="G119" s="45"/>
      <c r="H119" s="29"/>
      <c r="I119" s="7"/>
      <c r="J119" s="7"/>
      <c r="K119" s="44" t="str">
        <f>IFERROR(__xludf.DUMMYFUNCTION("IFERROR(GOOGLEFINANCE(B119,""price""),"""")"),"")</f>
        <v/>
      </c>
      <c r="L119" s="39">
        <f t="shared" si="12"/>
        <v>0</v>
      </c>
      <c r="M119" s="39">
        <f t="shared" si="13"/>
        <v>0</v>
      </c>
      <c r="N119" s="5">
        <f t="shared" si="14"/>
        <v>0</v>
      </c>
    </row>
    <row r="120" ht="15.75" customHeight="1">
      <c r="E120" s="39"/>
      <c r="F120" s="39">
        <f t="shared" si="11"/>
        <v>0</v>
      </c>
      <c r="G120" s="45"/>
      <c r="H120" s="29"/>
      <c r="I120" s="7"/>
      <c r="J120" s="7"/>
      <c r="K120" s="44" t="str">
        <f>IFERROR(__xludf.DUMMYFUNCTION("IFERROR(GOOGLEFINANCE(B120,""price""),"""")"),"")</f>
        <v/>
      </c>
      <c r="L120" s="39">
        <f t="shared" si="12"/>
        <v>0</v>
      </c>
      <c r="M120" s="39">
        <f t="shared" si="13"/>
        <v>0</v>
      </c>
      <c r="N120" s="5">
        <f t="shared" si="14"/>
        <v>0</v>
      </c>
    </row>
    <row r="121" ht="15.75" customHeight="1">
      <c r="E121" s="39"/>
      <c r="F121" s="39">
        <f t="shared" si="11"/>
        <v>0</v>
      </c>
      <c r="G121" s="45"/>
      <c r="H121" s="29"/>
      <c r="I121" s="7"/>
      <c r="J121" s="7"/>
      <c r="K121" s="44" t="str">
        <f>IFERROR(__xludf.DUMMYFUNCTION("IFERROR(GOOGLEFINANCE(B121,""price""),"""")"),"")</f>
        <v/>
      </c>
      <c r="L121" s="39">
        <f t="shared" si="12"/>
        <v>0</v>
      </c>
      <c r="M121" s="39">
        <f t="shared" si="13"/>
        <v>0</v>
      </c>
      <c r="N121" s="5">
        <f t="shared" si="14"/>
        <v>0</v>
      </c>
    </row>
    <row r="122" ht="15.75" customHeight="1">
      <c r="E122" s="39"/>
      <c r="F122" s="39">
        <f t="shared" si="11"/>
        <v>0</v>
      </c>
      <c r="G122" s="45"/>
      <c r="H122" s="29"/>
      <c r="I122" s="7"/>
      <c r="J122" s="7"/>
      <c r="K122" s="44" t="str">
        <f>IFERROR(__xludf.DUMMYFUNCTION("IFERROR(GOOGLEFINANCE(B122,""price""),"""")"),"")</f>
        <v/>
      </c>
      <c r="L122" s="39">
        <f t="shared" si="12"/>
        <v>0</v>
      </c>
      <c r="M122" s="39">
        <f t="shared" si="13"/>
        <v>0</v>
      </c>
      <c r="N122" s="5">
        <f t="shared" si="14"/>
        <v>0</v>
      </c>
    </row>
    <row r="123" ht="15.75" customHeight="1">
      <c r="E123" s="39"/>
      <c r="F123" s="39">
        <f t="shared" si="11"/>
        <v>0</v>
      </c>
      <c r="G123" s="45"/>
      <c r="H123" s="29"/>
      <c r="I123" s="7"/>
      <c r="J123" s="7"/>
      <c r="K123" s="44" t="str">
        <f>IFERROR(__xludf.DUMMYFUNCTION("IFERROR(GOOGLEFINANCE(B123,""price""),"""")"),"")</f>
        <v/>
      </c>
      <c r="L123" s="39">
        <f t="shared" si="12"/>
        <v>0</v>
      </c>
      <c r="M123" s="39">
        <f t="shared" si="13"/>
        <v>0</v>
      </c>
      <c r="N123" s="5">
        <f t="shared" si="14"/>
        <v>0</v>
      </c>
    </row>
    <row r="124" ht="15.75" customHeight="1">
      <c r="E124" s="39"/>
      <c r="F124" s="39">
        <f t="shared" si="11"/>
        <v>0</v>
      </c>
      <c r="G124" s="45"/>
      <c r="H124" s="29"/>
      <c r="I124" s="7"/>
      <c r="J124" s="7"/>
      <c r="K124" s="44" t="str">
        <f>IFERROR(__xludf.DUMMYFUNCTION("IFERROR(GOOGLEFINANCE(B124,""price""),"""")"),"")</f>
        <v/>
      </c>
      <c r="L124" s="39">
        <f t="shared" si="12"/>
        <v>0</v>
      </c>
      <c r="M124" s="39">
        <f t="shared" si="13"/>
        <v>0</v>
      </c>
      <c r="N124" s="5">
        <f t="shared" si="14"/>
        <v>0</v>
      </c>
    </row>
    <row r="125" ht="15.75" customHeight="1">
      <c r="E125" s="39"/>
      <c r="F125" s="39">
        <f t="shared" si="11"/>
        <v>0</v>
      </c>
      <c r="G125" s="45"/>
      <c r="H125" s="29"/>
      <c r="I125" s="7"/>
      <c r="J125" s="7"/>
      <c r="K125" s="44" t="str">
        <f>IFERROR(__xludf.DUMMYFUNCTION("IFERROR(GOOGLEFINANCE(B125,""price""),"""")"),"")</f>
        <v/>
      </c>
      <c r="L125" s="39">
        <f t="shared" si="12"/>
        <v>0</v>
      </c>
      <c r="M125" s="39">
        <f t="shared" si="13"/>
        <v>0</v>
      </c>
      <c r="N125" s="5">
        <f t="shared" si="14"/>
        <v>0</v>
      </c>
    </row>
    <row r="126" ht="15.75" customHeight="1">
      <c r="E126" s="39"/>
      <c r="F126" s="39">
        <f t="shared" si="11"/>
        <v>0</v>
      </c>
      <c r="G126" s="45"/>
      <c r="H126" s="29"/>
      <c r="I126" s="7"/>
      <c r="J126" s="7"/>
      <c r="K126" s="44" t="str">
        <f>IFERROR(__xludf.DUMMYFUNCTION("IFERROR(GOOGLEFINANCE(B126,""price""),"""")"),"")</f>
        <v/>
      </c>
      <c r="L126" s="39">
        <f t="shared" si="12"/>
        <v>0</v>
      </c>
      <c r="M126" s="39">
        <f t="shared" si="13"/>
        <v>0</v>
      </c>
      <c r="N126" s="5">
        <f t="shared" si="14"/>
        <v>0</v>
      </c>
    </row>
    <row r="127" ht="15.75" customHeight="1">
      <c r="E127" s="39"/>
      <c r="F127" s="39">
        <f t="shared" si="11"/>
        <v>0</v>
      </c>
      <c r="G127" s="45"/>
      <c r="H127" s="29"/>
      <c r="I127" s="7"/>
      <c r="J127" s="7"/>
      <c r="K127" s="44" t="str">
        <f>IFERROR(__xludf.DUMMYFUNCTION("IFERROR(GOOGLEFINANCE(B127,""price""),"""")"),"")</f>
        <v/>
      </c>
      <c r="L127" s="39">
        <f t="shared" si="12"/>
        <v>0</v>
      </c>
      <c r="M127" s="39">
        <f t="shared" si="13"/>
        <v>0</v>
      </c>
      <c r="N127" s="5">
        <f t="shared" si="14"/>
        <v>0</v>
      </c>
    </row>
    <row r="128" ht="15.75" customHeight="1">
      <c r="E128" s="39"/>
      <c r="F128" s="39">
        <f t="shared" si="11"/>
        <v>0</v>
      </c>
      <c r="G128" s="45"/>
      <c r="H128" s="29"/>
      <c r="I128" s="7"/>
      <c r="J128" s="7"/>
      <c r="K128" s="44" t="str">
        <f>IFERROR(__xludf.DUMMYFUNCTION("IFERROR(GOOGLEFINANCE(B128,""price""),"""")"),"")</f>
        <v/>
      </c>
      <c r="L128" s="39">
        <f t="shared" si="12"/>
        <v>0</v>
      </c>
      <c r="M128" s="39">
        <f t="shared" si="13"/>
        <v>0</v>
      </c>
      <c r="N128" s="5">
        <f t="shared" si="14"/>
        <v>0</v>
      </c>
    </row>
    <row r="129" ht="15.75" customHeight="1">
      <c r="E129" s="39"/>
      <c r="F129" s="39">
        <f t="shared" si="11"/>
        <v>0</v>
      </c>
      <c r="G129" s="45"/>
      <c r="H129" s="29"/>
      <c r="I129" s="7"/>
      <c r="J129" s="7"/>
      <c r="K129" s="44" t="str">
        <f>IFERROR(__xludf.DUMMYFUNCTION("IFERROR(GOOGLEFINANCE(B129,""price""),"""")"),"")</f>
        <v/>
      </c>
      <c r="L129" s="39">
        <f t="shared" si="12"/>
        <v>0</v>
      </c>
      <c r="M129" s="39">
        <f t="shared" si="13"/>
        <v>0</v>
      </c>
      <c r="N129" s="5">
        <f t="shared" si="14"/>
        <v>0</v>
      </c>
    </row>
    <row r="130" ht="15.75" customHeight="1">
      <c r="E130" s="39"/>
      <c r="F130" s="39">
        <f t="shared" si="11"/>
        <v>0</v>
      </c>
      <c r="G130" s="45"/>
      <c r="H130" s="29"/>
      <c r="I130" s="7"/>
      <c r="J130" s="7"/>
      <c r="K130" s="44" t="str">
        <f>IFERROR(__xludf.DUMMYFUNCTION("IFERROR(GOOGLEFINANCE(B130,""price""),"""")"),"")</f>
        <v/>
      </c>
      <c r="L130" s="39">
        <f t="shared" si="12"/>
        <v>0</v>
      </c>
      <c r="M130" s="39">
        <f t="shared" si="13"/>
        <v>0</v>
      </c>
      <c r="N130" s="5">
        <f t="shared" si="14"/>
        <v>0</v>
      </c>
    </row>
    <row r="131" ht="15.75" customHeight="1">
      <c r="E131" s="39"/>
      <c r="F131" s="39">
        <f t="shared" si="11"/>
        <v>0</v>
      </c>
      <c r="G131" s="45"/>
      <c r="H131" s="29"/>
      <c r="I131" s="7"/>
      <c r="J131" s="7"/>
      <c r="K131" s="44" t="str">
        <f>IFERROR(__xludf.DUMMYFUNCTION("IFERROR(GOOGLEFINANCE(B131,""price""),"""")"),"")</f>
        <v/>
      </c>
      <c r="L131" s="39">
        <f t="shared" si="12"/>
        <v>0</v>
      </c>
      <c r="M131" s="39">
        <f t="shared" si="13"/>
        <v>0</v>
      </c>
      <c r="N131" s="5">
        <f t="shared" si="14"/>
        <v>0</v>
      </c>
    </row>
    <row r="132" ht="15.75" customHeight="1">
      <c r="E132" s="39"/>
      <c r="F132" s="39">
        <f t="shared" si="11"/>
        <v>0</v>
      </c>
      <c r="G132" s="45"/>
      <c r="H132" s="29"/>
      <c r="I132" s="7"/>
      <c r="J132" s="7"/>
      <c r="K132" s="44" t="str">
        <f>IFERROR(__xludf.DUMMYFUNCTION("IFERROR(GOOGLEFINANCE(B132,""price""),"""")"),"")</f>
        <v/>
      </c>
      <c r="L132" s="39">
        <f t="shared" si="12"/>
        <v>0</v>
      </c>
      <c r="M132" s="39">
        <f t="shared" si="13"/>
        <v>0</v>
      </c>
      <c r="N132" s="5">
        <f t="shared" si="14"/>
        <v>0</v>
      </c>
    </row>
    <row r="133" ht="15.75" customHeight="1">
      <c r="E133" s="39"/>
      <c r="F133" s="39">
        <f t="shared" si="11"/>
        <v>0</v>
      </c>
      <c r="G133" s="45"/>
      <c r="H133" s="29"/>
      <c r="I133" s="7"/>
      <c r="J133" s="7"/>
      <c r="K133" s="44" t="str">
        <f>IFERROR(__xludf.DUMMYFUNCTION("IFERROR(GOOGLEFINANCE(B133,""price""),"""")"),"")</f>
        <v/>
      </c>
      <c r="L133" s="39">
        <f t="shared" si="12"/>
        <v>0</v>
      </c>
      <c r="M133" s="39">
        <f t="shared" si="13"/>
        <v>0</v>
      </c>
      <c r="N133" s="5">
        <f t="shared" si="14"/>
        <v>0</v>
      </c>
    </row>
    <row r="134" ht="15.75" customHeight="1">
      <c r="E134" s="39"/>
      <c r="F134" s="39">
        <f t="shared" si="11"/>
        <v>0</v>
      </c>
      <c r="G134" s="45"/>
      <c r="H134" s="29"/>
      <c r="I134" s="7"/>
      <c r="J134" s="7"/>
      <c r="K134" s="44" t="str">
        <f>IFERROR(__xludf.DUMMYFUNCTION("IFERROR(GOOGLEFINANCE(B134,""price""),"""")"),"")</f>
        <v/>
      </c>
      <c r="L134" s="39">
        <f t="shared" si="12"/>
        <v>0</v>
      </c>
      <c r="M134" s="39">
        <f t="shared" si="13"/>
        <v>0</v>
      </c>
      <c r="N134" s="5">
        <f t="shared" si="14"/>
        <v>0</v>
      </c>
    </row>
    <row r="135" ht="15.75" customHeight="1">
      <c r="E135" s="39"/>
      <c r="F135" s="39">
        <f t="shared" si="11"/>
        <v>0</v>
      </c>
      <c r="G135" s="45"/>
      <c r="H135" s="29"/>
      <c r="I135" s="7"/>
      <c r="J135" s="7"/>
      <c r="K135" s="44" t="str">
        <f>IFERROR(__xludf.DUMMYFUNCTION("IFERROR(GOOGLEFINANCE(B135,""price""),"""")"),"")</f>
        <v/>
      </c>
      <c r="L135" s="39">
        <f t="shared" si="12"/>
        <v>0</v>
      </c>
      <c r="M135" s="39">
        <f t="shared" si="13"/>
        <v>0</v>
      </c>
      <c r="N135" s="5">
        <f t="shared" si="14"/>
        <v>0</v>
      </c>
    </row>
    <row r="136" ht="15.75" customHeight="1">
      <c r="E136" s="39"/>
      <c r="F136" s="39">
        <f t="shared" si="11"/>
        <v>0</v>
      </c>
      <c r="G136" s="45"/>
      <c r="H136" s="29"/>
      <c r="I136" s="7"/>
      <c r="J136" s="7"/>
      <c r="K136" s="44" t="str">
        <f>IFERROR(__xludf.DUMMYFUNCTION("IFERROR(GOOGLEFINANCE(B136,""price""),"""")"),"")</f>
        <v/>
      </c>
      <c r="L136" s="39">
        <f t="shared" si="12"/>
        <v>0</v>
      </c>
      <c r="M136" s="39">
        <f t="shared" si="13"/>
        <v>0</v>
      </c>
      <c r="N136" s="5">
        <f t="shared" si="14"/>
        <v>0</v>
      </c>
    </row>
    <row r="137" ht="15.75" customHeight="1">
      <c r="E137" s="39"/>
      <c r="F137" s="39">
        <f t="shared" si="11"/>
        <v>0</v>
      </c>
      <c r="G137" s="45"/>
      <c r="H137" s="29"/>
      <c r="I137" s="7"/>
      <c r="J137" s="7"/>
      <c r="K137" s="44" t="str">
        <f>IFERROR(__xludf.DUMMYFUNCTION("IFERROR(GOOGLEFINANCE(B137,""price""),"""")"),"")</f>
        <v/>
      </c>
      <c r="L137" s="39">
        <f t="shared" si="12"/>
        <v>0</v>
      </c>
      <c r="M137" s="39">
        <f t="shared" si="13"/>
        <v>0</v>
      </c>
      <c r="N137" s="5">
        <f t="shared" si="14"/>
        <v>0</v>
      </c>
    </row>
    <row r="138" ht="15.75" customHeight="1">
      <c r="E138" s="39"/>
      <c r="F138" s="39">
        <f t="shared" si="11"/>
        <v>0</v>
      </c>
      <c r="G138" s="45"/>
      <c r="H138" s="29"/>
      <c r="I138" s="7"/>
      <c r="J138" s="7"/>
      <c r="K138" s="44" t="str">
        <f>IFERROR(__xludf.DUMMYFUNCTION("IFERROR(GOOGLEFINANCE(B138,""price""),"""")"),"")</f>
        <v/>
      </c>
      <c r="L138" s="39">
        <f t="shared" si="12"/>
        <v>0</v>
      </c>
      <c r="M138" s="39">
        <f t="shared" si="13"/>
        <v>0</v>
      </c>
      <c r="N138" s="5">
        <f t="shared" si="14"/>
        <v>0</v>
      </c>
    </row>
    <row r="139" ht="15.75" customHeight="1">
      <c r="E139" s="39"/>
      <c r="F139" s="39">
        <f t="shared" si="11"/>
        <v>0</v>
      </c>
      <c r="G139" s="45"/>
      <c r="H139" s="29"/>
      <c r="I139" s="7"/>
      <c r="J139" s="7"/>
      <c r="K139" s="44" t="str">
        <f>IFERROR(__xludf.DUMMYFUNCTION("IFERROR(GOOGLEFINANCE(B139,""price""),"""")"),"")</f>
        <v/>
      </c>
      <c r="L139" s="39">
        <f t="shared" si="12"/>
        <v>0</v>
      </c>
      <c r="M139" s="39">
        <f t="shared" si="13"/>
        <v>0</v>
      </c>
      <c r="N139" s="5">
        <f t="shared" si="14"/>
        <v>0</v>
      </c>
    </row>
    <row r="140" ht="15.75" customHeight="1">
      <c r="E140" s="39"/>
      <c r="F140" s="39">
        <f t="shared" si="11"/>
        <v>0</v>
      </c>
      <c r="G140" s="45"/>
      <c r="H140" s="29"/>
      <c r="I140" s="7"/>
      <c r="J140" s="7"/>
      <c r="K140" s="44" t="str">
        <f>IFERROR(__xludf.DUMMYFUNCTION("IFERROR(GOOGLEFINANCE(B140,""price""),"""")"),"")</f>
        <v/>
      </c>
      <c r="L140" s="39">
        <f t="shared" si="12"/>
        <v>0</v>
      </c>
      <c r="M140" s="39">
        <f t="shared" si="13"/>
        <v>0</v>
      </c>
      <c r="N140" s="5">
        <f t="shared" si="14"/>
        <v>0</v>
      </c>
    </row>
    <row r="141" ht="15.75" customHeight="1">
      <c r="E141" s="39"/>
      <c r="F141" s="39">
        <f t="shared" si="11"/>
        <v>0</v>
      </c>
      <c r="G141" s="45"/>
      <c r="H141" s="29"/>
      <c r="I141" s="7"/>
      <c r="J141" s="7"/>
      <c r="K141" s="44" t="str">
        <f>IFERROR(__xludf.DUMMYFUNCTION("IFERROR(GOOGLEFINANCE(B141,""price""),"""")"),"")</f>
        <v/>
      </c>
      <c r="L141" s="39">
        <f t="shared" si="12"/>
        <v>0</v>
      </c>
      <c r="M141" s="39">
        <f t="shared" si="13"/>
        <v>0</v>
      </c>
      <c r="N141" s="5">
        <f t="shared" si="14"/>
        <v>0</v>
      </c>
    </row>
    <row r="142" ht="15.75" customHeight="1">
      <c r="E142" s="39"/>
      <c r="F142" s="39">
        <f t="shared" si="11"/>
        <v>0</v>
      </c>
      <c r="G142" s="45"/>
      <c r="H142" s="29"/>
      <c r="I142" s="7"/>
      <c r="J142" s="7"/>
      <c r="K142" s="44" t="str">
        <f>IFERROR(__xludf.DUMMYFUNCTION("IFERROR(GOOGLEFINANCE(B142,""price""),"""")"),"")</f>
        <v/>
      </c>
      <c r="L142" s="39">
        <f t="shared" si="12"/>
        <v>0</v>
      </c>
      <c r="M142" s="39">
        <f t="shared" si="13"/>
        <v>0</v>
      </c>
      <c r="N142" s="5">
        <f t="shared" si="14"/>
        <v>0</v>
      </c>
    </row>
    <row r="143" ht="15.75" customHeight="1">
      <c r="E143" s="39"/>
      <c r="F143" s="39">
        <f t="shared" si="11"/>
        <v>0</v>
      </c>
      <c r="G143" s="45"/>
      <c r="H143" s="29"/>
      <c r="I143" s="7"/>
      <c r="J143" s="7"/>
      <c r="K143" s="44" t="str">
        <f>IFERROR(__xludf.DUMMYFUNCTION("IFERROR(GOOGLEFINANCE(B143,""price""),"""")"),"")</f>
        <v/>
      </c>
      <c r="L143" s="39">
        <f t="shared" si="12"/>
        <v>0</v>
      </c>
      <c r="M143" s="39">
        <f t="shared" si="13"/>
        <v>0</v>
      </c>
      <c r="N143" s="5">
        <f t="shared" si="14"/>
        <v>0</v>
      </c>
    </row>
    <row r="144" ht="15.75" customHeight="1">
      <c r="E144" s="39"/>
      <c r="F144" s="39">
        <f t="shared" si="11"/>
        <v>0</v>
      </c>
      <c r="G144" s="45"/>
      <c r="H144" s="29"/>
      <c r="I144" s="7"/>
      <c r="J144" s="7"/>
      <c r="K144" s="44" t="str">
        <f>IFERROR(__xludf.DUMMYFUNCTION("IFERROR(GOOGLEFINANCE(B144,""price""),"""")"),"")</f>
        <v/>
      </c>
      <c r="L144" s="39">
        <f t="shared" si="12"/>
        <v>0</v>
      </c>
      <c r="M144" s="39">
        <f t="shared" si="13"/>
        <v>0</v>
      </c>
      <c r="N144" s="5">
        <f t="shared" si="14"/>
        <v>0</v>
      </c>
    </row>
    <row r="145" ht="15.75" customHeight="1">
      <c r="E145" s="39"/>
      <c r="F145" s="39">
        <f t="shared" si="11"/>
        <v>0</v>
      </c>
      <c r="G145" s="45"/>
      <c r="H145" s="29"/>
      <c r="I145" s="7"/>
      <c r="J145" s="7"/>
      <c r="K145" s="44" t="str">
        <f>IFERROR(__xludf.DUMMYFUNCTION("IFERROR(GOOGLEFINANCE(B145,""price""),"""")"),"")</f>
        <v/>
      </c>
      <c r="L145" s="39">
        <f t="shared" si="12"/>
        <v>0</v>
      </c>
      <c r="M145" s="39">
        <f t="shared" si="13"/>
        <v>0</v>
      </c>
      <c r="N145" s="5">
        <f t="shared" si="14"/>
        <v>0</v>
      </c>
    </row>
    <row r="146" ht="15.75" customHeight="1">
      <c r="E146" s="39"/>
      <c r="F146" s="39">
        <f t="shared" si="11"/>
        <v>0</v>
      </c>
      <c r="G146" s="45"/>
      <c r="H146" s="29"/>
      <c r="I146" s="7"/>
      <c r="J146" s="7"/>
      <c r="K146" s="44" t="str">
        <f>IFERROR(__xludf.DUMMYFUNCTION("IFERROR(GOOGLEFINANCE(B146,""price""),"""")"),"")</f>
        <v/>
      </c>
      <c r="L146" s="39">
        <f t="shared" si="12"/>
        <v>0</v>
      </c>
      <c r="M146" s="39">
        <f t="shared" si="13"/>
        <v>0</v>
      </c>
      <c r="N146" s="5">
        <f t="shared" si="14"/>
        <v>0</v>
      </c>
    </row>
    <row r="147" ht="15.75" customHeight="1">
      <c r="E147" s="39"/>
      <c r="F147" s="39">
        <f t="shared" si="11"/>
        <v>0</v>
      </c>
      <c r="G147" s="45"/>
      <c r="H147" s="29"/>
      <c r="I147" s="7"/>
      <c r="J147" s="7"/>
      <c r="K147" s="44" t="str">
        <f>IFERROR(__xludf.DUMMYFUNCTION("IFERROR(GOOGLEFINANCE(B147,""price""),"""")"),"")</f>
        <v/>
      </c>
      <c r="L147" s="39">
        <f t="shared" si="12"/>
        <v>0</v>
      </c>
      <c r="M147" s="39">
        <f t="shared" si="13"/>
        <v>0</v>
      </c>
      <c r="N147" s="5">
        <f t="shared" si="14"/>
        <v>0</v>
      </c>
    </row>
    <row r="148" ht="15.75" customHeight="1">
      <c r="E148" s="39"/>
      <c r="F148" s="39">
        <f t="shared" si="11"/>
        <v>0</v>
      </c>
      <c r="G148" s="45"/>
      <c r="H148" s="29"/>
      <c r="I148" s="7"/>
      <c r="J148" s="7"/>
      <c r="K148" s="44" t="str">
        <f>IFERROR(__xludf.DUMMYFUNCTION("IFERROR(GOOGLEFINANCE(B148,""price""),"""")"),"")</f>
        <v/>
      </c>
      <c r="L148" s="39">
        <f t="shared" si="12"/>
        <v>0</v>
      </c>
      <c r="M148" s="39">
        <f t="shared" si="13"/>
        <v>0</v>
      </c>
      <c r="N148" s="5">
        <f t="shared" si="14"/>
        <v>0</v>
      </c>
    </row>
    <row r="149" ht="15.75" customHeight="1">
      <c r="E149" s="39"/>
      <c r="F149" s="39">
        <f t="shared" si="11"/>
        <v>0</v>
      </c>
      <c r="G149" s="45"/>
      <c r="H149" s="29"/>
      <c r="I149" s="7"/>
      <c r="J149" s="7"/>
      <c r="K149" s="44" t="str">
        <f>IFERROR(__xludf.DUMMYFUNCTION("IFERROR(GOOGLEFINANCE(B149,""price""),"""")"),"")</f>
        <v/>
      </c>
      <c r="L149" s="39">
        <f t="shared" si="12"/>
        <v>0</v>
      </c>
      <c r="M149" s="39">
        <f t="shared" si="13"/>
        <v>0</v>
      </c>
      <c r="N149" s="5">
        <f t="shared" si="14"/>
        <v>0</v>
      </c>
    </row>
    <row r="150" ht="15.75" customHeight="1">
      <c r="E150" s="39"/>
      <c r="F150" s="39">
        <f t="shared" si="11"/>
        <v>0</v>
      </c>
      <c r="G150" s="45"/>
      <c r="H150" s="29"/>
      <c r="I150" s="7"/>
      <c r="J150" s="7"/>
      <c r="K150" s="44" t="str">
        <f>IFERROR(__xludf.DUMMYFUNCTION("IFERROR(GOOGLEFINANCE(B150,""price""),"""")"),"")</f>
        <v/>
      </c>
      <c r="L150" s="39">
        <f t="shared" si="12"/>
        <v>0</v>
      </c>
      <c r="M150" s="39">
        <f t="shared" si="13"/>
        <v>0</v>
      </c>
      <c r="N150" s="5">
        <f t="shared" si="14"/>
        <v>0</v>
      </c>
    </row>
    <row r="151" ht="15.75" customHeight="1">
      <c r="E151" s="39"/>
      <c r="F151" s="39">
        <f t="shared" si="11"/>
        <v>0</v>
      </c>
      <c r="G151" s="45"/>
      <c r="H151" s="29"/>
      <c r="I151" s="7"/>
      <c r="J151" s="7"/>
      <c r="K151" s="44" t="str">
        <f>IFERROR(__xludf.DUMMYFUNCTION("IFERROR(GOOGLEFINANCE(B151,""price""),"""")"),"")</f>
        <v/>
      </c>
      <c r="L151" s="39">
        <f t="shared" si="12"/>
        <v>0</v>
      </c>
      <c r="M151" s="39">
        <f t="shared" si="13"/>
        <v>0</v>
      </c>
      <c r="N151" s="5">
        <f t="shared" si="14"/>
        <v>0</v>
      </c>
    </row>
    <row r="152" ht="15.75" customHeight="1">
      <c r="E152" s="39"/>
      <c r="F152" s="39">
        <f t="shared" si="11"/>
        <v>0</v>
      </c>
      <c r="G152" s="45"/>
      <c r="H152" s="29"/>
      <c r="I152" s="7"/>
      <c r="J152" s="7"/>
      <c r="K152" s="44" t="str">
        <f>IFERROR(__xludf.DUMMYFUNCTION("IFERROR(GOOGLEFINANCE(B152,""price""),"""")"),"")</f>
        <v/>
      </c>
      <c r="L152" s="39">
        <f t="shared" si="12"/>
        <v>0</v>
      </c>
      <c r="M152" s="39">
        <f t="shared" si="13"/>
        <v>0</v>
      </c>
      <c r="N152" s="5">
        <f t="shared" si="14"/>
        <v>0</v>
      </c>
    </row>
    <row r="153" ht="15.75" customHeight="1">
      <c r="E153" s="39"/>
      <c r="F153" s="39">
        <f t="shared" si="11"/>
        <v>0</v>
      </c>
      <c r="G153" s="45"/>
      <c r="H153" s="29"/>
      <c r="I153" s="7"/>
      <c r="J153" s="7"/>
      <c r="K153" s="44" t="str">
        <f>IFERROR(__xludf.DUMMYFUNCTION("IFERROR(GOOGLEFINANCE(B153,""price""),"""")"),"")</f>
        <v/>
      </c>
      <c r="L153" s="39">
        <f t="shared" si="12"/>
        <v>0</v>
      </c>
      <c r="M153" s="39">
        <f t="shared" si="13"/>
        <v>0</v>
      </c>
      <c r="N153" s="5">
        <f t="shared" si="14"/>
        <v>0</v>
      </c>
    </row>
    <row r="154" ht="15.75" customHeight="1">
      <c r="E154" s="39"/>
      <c r="F154" s="39">
        <f t="shared" si="11"/>
        <v>0</v>
      </c>
      <c r="G154" s="45"/>
      <c r="H154" s="29"/>
      <c r="I154" s="7"/>
      <c r="J154" s="7"/>
      <c r="K154" s="44" t="str">
        <f>IFERROR(__xludf.DUMMYFUNCTION("IFERROR(GOOGLEFINANCE(B154,""price""),"""")"),"")</f>
        <v/>
      </c>
      <c r="L154" s="39">
        <f t="shared" si="12"/>
        <v>0</v>
      </c>
      <c r="M154" s="39">
        <f t="shared" si="13"/>
        <v>0</v>
      </c>
      <c r="N154" s="5">
        <f t="shared" si="14"/>
        <v>0</v>
      </c>
    </row>
    <row r="155" ht="15.75" customHeight="1">
      <c r="E155" s="39"/>
      <c r="F155" s="39">
        <f t="shared" si="11"/>
        <v>0</v>
      </c>
      <c r="G155" s="45"/>
      <c r="H155" s="29"/>
      <c r="I155" s="7"/>
      <c r="J155" s="7"/>
      <c r="K155" s="44" t="str">
        <f>IFERROR(__xludf.DUMMYFUNCTION("IFERROR(GOOGLEFINANCE(B155,""price""),"""")"),"")</f>
        <v/>
      </c>
      <c r="L155" s="39">
        <f t="shared" si="12"/>
        <v>0</v>
      </c>
      <c r="M155" s="39">
        <f t="shared" si="13"/>
        <v>0</v>
      </c>
      <c r="N155" s="5">
        <f t="shared" si="14"/>
        <v>0</v>
      </c>
    </row>
    <row r="156" ht="15.75" customHeight="1">
      <c r="E156" s="39"/>
      <c r="F156" s="39">
        <f t="shared" si="11"/>
        <v>0</v>
      </c>
      <c r="G156" s="45"/>
      <c r="H156" s="29"/>
      <c r="I156" s="7"/>
      <c r="J156" s="7"/>
      <c r="K156" s="44" t="str">
        <f>IFERROR(__xludf.DUMMYFUNCTION("IFERROR(GOOGLEFINANCE(B156,""price""),"""")"),"")</f>
        <v/>
      </c>
      <c r="L156" s="39">
        <f t="shared" si="12"/>
        <v>0</v>
      </c>
      <c r="M156" s="39">
        <f t="shared" si="13"/>
        <v>0</v>
      </c>
      <c r="N156" s="5">
        <f t="shared" si="14"/>
        <v>0</v>
      </c>
    </row>
    <row r="157" ht="15.75" customHeight="1">
      <c r="E157" s="39"/>
      <c r="F157" s="39">
        <f t="shared" si="11"/>
        <v>0</v>
      </c>
      <c r="G157" s="45"/>
      <c r="H157" s="29"/>
      <c r="I157" s="7"/>
      <c r="J157" s="7"/>
      <c r="K157" s="44" t="str">
        <f>IFERROR(__xludf.DUMMYFUNCTION("IFERROR(GOOGLEFINANCE(B157,""price""),"""")"),"")</f>
        <v/>
      </c>
      <c r="L157" s="39">
        <f t="shared" si="12"/>
        <v>0</v>
      </c>
      <c r="M157" s="39">
        <f t="shared" si="13"/>
        <v>0</v>
      </c>
      <c r="N157" s="5">
        <f t="shared" si="14"/>
        <v>0</v>
      </c>
    </row>
    <row r="158" ht="15.75" customHeight="1">
      <c r="E158" s="39"/>
      <c r="F158" s="39">
        <f t="shared" si="11"/>
        <v>0</v>
      </c>
      <c r="G158" s="45"/>
      <c r="H158" s="29"/>
      <c r="I158" s="7"/>
      <c r="J158" s="7"/>
      <c r="K158" s="44" t="str">
        <f>IFERROR(__xludf.DUMMYFUNCTION("IFERROR(GOOGLEFINANCE(B158,""price""),"""")"),"")</f>
        <v/>
      </c>
      <c r="L158" s="39">
        <f t="shared" si="12"/>
        <v>0</v>
      </c>
      <c r="M158" s="39">
        <f t="shared" si="13"/>
        <v>0</v>
      </c>
      <c r="N158" s="5">
        <f t="shared" si="14"/>
        <v>0</v>
      </c>
    </row>
    <row r="159" ht="15.75" customHeight="1">
      <c r="E159" s="39"/>
      <c r="F159" s="39">
        <f t="shared" si="11"/>
        <v>0</v>
      </c>
      <c r="G159" s="45"/>
      <c r="H159" s="29"/>
      <c r="I159" s="7"/>
      <c r="J159" s="7"/>
      <c r="K159" s="44" t="str">
        <f>IFERROR(__xludf.DUMMYFUNCTION("IFERROR(GOOGLEFINANCE(B159,""price""),"""")"),"")</f>
        <v/>
      </c>
      <c r="L159" s="39">
        <f t="shared" si="12"/>
        <v>0</v>
      </c>
      <c r="M159" s="39">
        <f t="shared" si="13"/>
        <v>0</v>
      </c>
      <c r="N159" s="5">
        <f t="shared" si="14"/>
        <v>0</v>
      </c>
    </row>
    <row r="160" ht="15.75" customHeight="1">
      <c r="E160" s="39"/>
      <c r="F160" s="39">
        <f t="shared" si="11"/>
        <v>0</v>
      </c>
      <c r="G160" s="45"/>
      <c r="H160" s="29"/>
      <c r="I160" s="7"/>
      <c r="J160" s="7"/>
      <c r="K160" s="44" t="str">
        <f>IFERROR(__xludf.DUMMYFUNCTION("IFERROR(GOOGLEFINANCE(B160,""price""),"""")"),"")</f>
        <v/>
      </c>
      <c r="L160" s="39">
        <f t="shared" si="12"/>
        <v>0</v>
      </c>
      <c r="M160" s="39">
        <f t="shared" si="13"/>
        <v>0</v>
      </c>
      <c r="N160" s="5">
        <f t="shared" si="14"/>
        <v>0</v>
      </c>
    </row>
    <row r="161" ht="15.75" customHeight="1">
      <c r="E161" s="39"/>
      <c r="F161" s="39">
        <f t="shared" si="11"/>
        <v>0</v>
      </c>
      <c r="G161" s="45"/>
      <c r="H161" s="29"/>
      <c r="I161" s="7"/>
      <c r="J161" s="7"/>
      <c r="K161" s="44" t="str">
        <f>IFERROR(__xludf.DUMMYFUNCTION("IFERROR(GOOGLEFINANCE(B161,""price""),"""")"),"")</f>
        <v/>
      </c>
      <c r="L161" s="39">
        <f t="shared" si="12"/>
        <v>0</v>
      </c>
      <c r="M161" s="39">
        <f t="shared" si="13"/>
        <v>0</v>
      </c>
      <c r="N161" s="5">
        <f t="shared" si="14"/>
        <v>0</v>
      </c>
    </row>
    <row r="162" ht="15.75" customHeight="1">
      <c r="E162" s="39"/>
      <c r="F162" s="39">
        <f t="shared" si="11"/>
        <v>0</v>
      </c>
      <c r="G162" s="45"/>
      <c r="H162" s="29"/>
      <c r="I162" s="7"/>
      <c r="J162" s="7"/>
      <c r="K162" s="44" t="str">
        <f>IFERROR(__xludf.DUMMYFUNCTION("IFERROR(GOOGLEFINANCE(B162,""price""),"""")"),"")</f>
        <v/>
      </c>
      <c r="L162" s="39">
        <f t="shared" si="12"/>
        <v>0</v>
      </c>
      <c r="M162" s="39">
        <f t="shared" si="13"/>
        <v>0</v>
      </c>
      <c r="N162" s="5">
        <f t="shared" si="14"/>
        <v>0</v>
      </c>
    </row>
    <row r="163" ht="15.75" customHeight="1">
      <c r="E163" s="39"/>
      <c r="F163" s="39">
        <f t="shared" si="11"/>
        <v>0</v>
      </c>
      <c r="G163" s="45"/>
      <c r="H163" s="29"/>
      <c r="I163" s="7"/>
      <c r="J163" s="7"/>
      <c r="K163" s="44" t="str">
        <f>IFERROR(__xludf.DUMMYFUNCTION("IFERROR(GOOGLEFINANCE(B163,""price""),"""")"),"")</f>
        <v/>
      </c>
      <c r="L163" s="39">
        <f t="shared" si="12"/>
        <v>0</v>
      </c>
      <c r="M163" s="39">
        <f t="shared" si="13"/>
        <v>0</v>
      </c>
      <c r="N163" s="5">
        <f t="shared" si="14"/>
        <v>0</v>
      </c>
    </row>
    <row r="164" ht="15.75" customHeight="1">
      <c r="E164" s="39"/>
      <c r="F164" s="39">
        <f t="shared" si="11"/>
        <v>0</v>
      </c>
      <c r="G164" s="45"/>
      <c r="H164" s="29"/>
      <c r="I164" s="7"/>
      <c r="J164" s="7"/>
      <c r="K164" s="44" t="str">
        <f>IFERROR(__xludf.DUMMYFUNCTION("IFERROR(GOOGLEFINANCE(B164,""price""),"""")"),"")</f>
        <v/>
      </c>
      <c r="L164" s="39">
        <f t="shared" si="12"/>
        <v>0</v>
      </c>
      <c r="M164" s="39">
        <f t="shared" si="13"/>
        <v>0</v>
      </c>
      <c r="N164" s="5">
        <f t="shared" si="14"/>
        <v>0</v>
      </c>
    </row>
    <row r="165" ht="15.75" customHeight="1">
      <c r="E165" s="39"/>
      <c r="F165" s="39">
        <f t="shared" si="11"/>
        <v>0</v>
      </c>
      <c r="G165" s="45"/>
      <c r="H165" s="29"/>
      <c r="I165" s="7"/>
      <c r="J165" s="7"/>
      <c r="K165" s="44" t="str">
        <f>IFERROR(__xludf.DUMMYFUNCTION("IFERROR(GOOGLEFINANCE(B165,""price""),"""")"),"")</f>
        <v/>
      </c>
      <c r="L165" s="39">
        <f t="shared" si="12"/>
        <v>0</v>
      </c>
      <c r="M165" s="39">
        <f t="shared" si="13"/>
        <v>0</v>
      </c>
      <c r="N165" s="5">
        <f t="shared" si="14"/>
        <v>0</v>
      </c>
    </row>
    <row r="166" ht="15.75" customHeight="1">
      <c r="E166" s="39"/>
      <c r="F166" s="39">
        <f t="shared" si="11"/>
        <v>0</v>
      </c>
      <c r="G166" s="45"/>
      <c r="H166" s="29"/>
      <c r="I166" s="7"/>
      <c r="J166" s="7"/>
      <c r="K166" s="44" t="str">
        <f>IFERROR(__xludf.DUMMYFUNCTION("IFERROR(GOOGLEFINANCE(B166,""price""),"""")"),"")</f>
        <v/>
      </c>
      <c r="L166" s="39">
        <f t="shared" si="12"/>
        <v>0</v>
      </c>
      <c r="M166" s="39">
        <f t="shared" si="13"/>
        <v>0</v>
      </c>
      <c r="N166" s="5">
        <f t="shared" si="14"/>
        <v>0</v>
      </c>
    </row>
    <row r="167" ht="15.75" customHeight="1">
      <c r="E167" s="39"/>
      <c r="F167" s="39">
        <f t="shared" si="11"/>
        <v>0</v>
      </c>
      <c r="G167" s="45"/>
      <c r="H167" s="29"/>
      <c r="I167" s="7"/>
      <c r="J167" s="7"/>
      <c r="K167" s="44" t="str">
        <f>IFERROR(__xludf.DUMMYFUNCTION("IFERROR(GOOGLEFINANCE(B167,""price""),"""")"),"")</f>
        <v/>
      </c>
      <c r="L167" s="39">
        <f t="shared" si="12"/>
        <v>0</v>
      </c>
      <c r="M167" s="39">
        <f t="shared" si="13"/>
        <v>0</v>
      </c>
      <c r="N167" s="5">
        <f t="shared" si="14"/>
        <v>0</v>
      </c>
    </row>
    <row r="168" ht="15.75" customHeight="1">
      <c r="E168" s="39"/>
      <c r="F168" s="39">
        <f t="shared" si="11"/>
        <v>0</v>
      </c>
      <c r="G168" s="45"/>
      <c r="H168" s="29"/>
      <c r="I168" s="7"/>
      <c r="J168" s="7"/>
      <c r="K168" s="44" t="str">
        <f>IFERROR(__xludf.DUMMYFUNCTION("IFERROR(GOOGLEFINANCE(B168,""price""),"""")"),"")</f>
        <v/>
      </c>
      <c r="L168" s="39">
        <f t="shared" si="12"/>
        <v>0</v>
      </c>
      <c r="M168" s="39">
        <f t="shared" si="13"/>
        <v>0</v>
      </c>
      <c r="N168" s="5">
        <f t="shared" si="14"/>
        <v>0</v>
      </c>
    </row>
    <row r="169" ht="15.75" customHeight="1">
      <c r="E169" s="39"/>
      <c r="F169" s="39">
        <f t="shared" si="11"/>
        <v>0</v>
      </c>
      <c r="G169" s="45"/>
      <c r="H169" s="29"/>
      <c r="I169" s="7"/>
      <c r="J169" s="7"/>
      <c r="K169" s="44" t="str">
        <f>IFERROR(__xludf.DUMMYFUNCTION("IFERROR(GOOGLEFINANCE(B169,""price""),"""")"),"")</f>
        <v/>
      </c>
      <c r="L169" s="39">
        <f t="shared" si="12"/>
        <v>0</v>
      </c>
      <c r="M169" s="39">
        <f t="shared" si="13"/>
        <v>0</v>
      </c>
      <c r="N169" s="5">
        <f t="shared" si="14"/>
        <v>0</v>
      </c>
    </row>
    <row r="170" ht="15.75" customHeight="1">
      <c r="E170" s="39"/>
      <c r="F170" s="39">
        <f t="shared" si="11"/>
        <v>0</v>
      </c>
      <c r="G170" s="45"/>
      <c r="H170" s="29"/>
      <c r="I170" s="7"/>
      <c r="J170" s="7"/>
      <c r="K170" s="44" t="str">
        <f>IFERROR(__xludf.DUMMYFUNCTION("IFERROR(GOOGLEFINANCE(B170,""price""),"""")"),"")</f>
        <v/>
      </c>
      <c r="L170" s="39">
        <f t="shared" si="12"/>
        <v>0</v>
      </c>
      <c r="M170" s="39">
        <f t="shared" si="13"/>
        <v>0</v>
      </c>
      <c r="N170" s="5">
        <f t="shared" si="14"/>
        <v>0</v>
      </c>
    </row>
    <row r="171" ht="15.75" customHeight="1">
      <c r="E171" s="39"/>
      <c r="F171" s="39">
        <f t="shared" si="11"/>
        <v>0</v>
      </c>
      <c r="G171" s="45"/>
      <c r="H171" s="29"/>
      <c r="I171" s="7"/>
      <c r="J171" s="7"/>
      <c r="K171" s="44" t="str">
        <f>IFERROR(__xludf.DUMMYFUNCTION("IFERROR(GOOGLEFINANCE(B171,""price""),"""")"),"")</f>
        <v/>
      </c>
      <c r="L171" s="39">
        <f t="shared" si="12"/>
        <v>0</v>
      </c>
      <c r="M171" s="39">
        <f t="shared" si="13"/>
        <v>0</v>
      </c>
      <c r="N171" s="5">
        <f t="shared" si="14"/>
        <v>0</v>
      </c>
    </row>
    <row r="172" ht="15.75" customHeight="1">
      <c r="E172" s="39"/>
      <c r="F172" s="39">
        <f t="shared" si="11"/>
        <v>0</v>
      </c>
      <c r="G172" s="45"/>
      <c r="H172" s="29"/>
      <c r="I172" s="7"/>
      <c r="J172" s="7"/>
      <c r="K172" s="44" t="str">
        <f>IFERROR(__xludf.DUMMYFUNCTION("IFERROR(GOOGLEFINANCE(B172,""price""),"""")"),"")</f>
        <v/>
      </c>
      <c r="L172" s="39">
        <f t="shared" si="12"/>
        <v>0</v>
      </c>
      <c r="M172" s="39">
        <f t="shared" si="13"/>
        <v>0</v>
      </c>
      <c r="N172" s="5">
        <f t="shared" si="14"/>
        <v>0</v>
      </c>
    </row>
    <row r="173" ht="15.75" customHeight="1">
      <c r="E173" s="39"/>
      <c r="F173" s="39">
        <f t="shared" si="11"/>
        <v>0</v>
      </c>
      <c r="G173" s="45"/>
      <c r="H173" s="29"/>
      <c r="I173" s="7"/>
      <c r="J173" s="7"/>
      <c r="K173" s="44" t="str">
        <f>IFERROR(__xludf.DUMMYFUNCTION("IFERROR(GOOGLEFINANCE(B173,""price""),"""")"),"")</f>
        <v/>
      </c>
      <c r="L173" s="39">
        <f t="shared" si="12"/>
        <v>0</v>
      </c>
      <c r="M173" s="39">
        <f t="shared" si="13"/>
        <v>0</v>
      </c>
      <c r="N173" s="5">
        <f t="shared" si="14"/>
        <v>0</v>
      </c>
    </row>
    <row r="174" ht="15.75" customHeight="1">
      <c r="E174" s="39"/>
      <c r="F174" s="39">
        <f t="shared" si="11"/>
        <v>0</v>
      </c>
      <c r="G174" s="45"/>
      <c r="H174" s="29"/>
      <c r="I174" s="7"/>
      <c r="J174" s="7"/>
      <c r="K174" s="44" t="str">
        <f>IFERROR(__xludf.DUMMYFUNCTION("IFERROR(GOOGLEFINANCE(B174,""price""),"""")"),"")</f>
        <v/>
      </c>
      <c r="L174" s="39">
        <f t="shared" si="12"/>
        <v>0</v>
      </c>
      <c r="M174" s="39">
        <f t="shared" si="13"/>
        <v>0</v>
      </c>
      <c r="N174" s="5">
        <f t="shared" si="14"/>
        <v>0</v>
      </c>
    </row>
    <row r="175" ht="15.75" customHeight="1">
      <c r="E175" s="39"/>
      <c r="F175" s="39">
        <f t="shared" si="11"/>
        <v>0</v>
      </c>
      <c r="G175" s="45"/>
      <c r="H175" s="29"/>
      <c r="I175" s="7"/>
      <c r="J175" s="7"/>
      <c r="K175" s="44" t="str">
        <f>IFERROR(__xludf.DUMMYFUNCTION("IFERROR(GOOGLEFINANCE(B175,""price""),"""")"),"")</f>
        <v/>
      </c>
      <c r="L175" s="39">
        <f t="shared" si="12"/>
        <v>0</v>
      </c>
      <c r="M175" s="39">
        <f t="shared" si="13"/>
        <v>0</v>
      </c>
      <c r="N175" s="5">
        <f t="shared" si="14"/>
        <v>0</v>
      </c>
    </row>
    <row r="176" ht="15.75" customHeight="1">
      <c r="E176" s="39"/>
      <c r="F176" s="39">
        <f t="shared" si="11"/>
        <v>0</v>
      </c>
      <c r="G176" s="45"/>
      <c r="H176" s="29"/>
      <c r="I176" s="7"/>
      <c r="J176" s="7"/>
      <c r="K176" s="44" t="str">
        <f>IFERROR(__xludf.DUMMYFUNCTION("IFERROR(GOOGLEFINANCE(B176,""price""),"""")"),"")</f>
        <v/>
      </c>
      <c r="L176" s="39">
        <f t="shared" si="12"/>
        <v>0</v>
      </c>
      <c r="M176" s="39">
        <f t="shared" si="13"/>
        <v>0</v>
      </c>
      <c r="N176" s="5">
        <f t="shared" si="14"/>
        <v>0</v>
      </c>
    </row>
    <row r="177" ht="15.75" customHeight="1">
      <c r="E177" s="39"/>
      <c r="F177" s="39">
        <f t="shared" si="11"/>
        <v>0</v>
      </c>
      <c r="G177" s="45"/>
      <c r="H177" s="29"/>
      <c r="I177" s="7"/>
      <c r="J177" s="7"/>
      <c r="K177" s="44" t="str">
        <f>IFERROR(__xludf.DUMMYFUNCTION("IFERROR(GOOGLEFINANCE(B177,""price""),"""")"),"")</f>
        <v/>
      </c>
      <c r="L177" s="39">
        <f t="shared" si="12"/>
        <v>0</v>
      </c>
      <c r="M177" s="39">
        <f t="shared" si="13"/>
        <v>0</v>
      </c>
      <c r="N177" s="5">
        <f t="shared" si="14"/>
        <v>0</v>
      </c>
    </row>
    <row r="178" ht="15.75" customHeight="1">
      <c r="E178" s="39"/>
      <c r="F178" s="39">
        <f t="shared" si="11"/>
        <v>0</v>
      </c>
      <c r="G178" s="45"/>
      <c r="H178" s="29"/>
      <c r="I178" s="7"/>
      <c r="J178" s="7"/>
      <c r="K178" s="44" t="str">
        <f>IFERROR(__xludf.DUMMYFUNCTION("IFERROR(GOOGLEFINANCE(B178,""price""),"""")"),"")</f>
        <v/>
      </c>
      <c r="L178" s="39">
        <f t="shared" si="12"/>
        <v>0</v>
      </c>
      <c r="M178" s="39">
        <f t="shared" si="13"/>
        <v>0</v>
      </c>
      <c r="N178" s="5">
        <f t="shared" si="14"/>
        <v>0</v>
      </c>
    </row>
    <row r="179" ht="15.75" customHeight="1">
      <c r="E179" s="39"/>
      <c r="F179" s="39">
        <f t="shared" si="11"/>
        <v>0</v>
      </c>
      <c r="G179" s="45"/>
      <c r="H179" s="29"/>
      <c r="I179" s="7"/>
      <c r="J179" s="7"/>
      <c r="K179" s="44" t="str">
        <f>IFERROR(__xludf.DUMMYFUNCTION("IFERROR(GOOGLEFINANCE(B179,""price""),"""")"),"")</f>
        <v/>
      </c>
      <c r="L179" s="39">
        <f t="shared" si="12"/>
        <v>0</v>
      </c>
      <c r="M179" s="39">
        <f t="shared" si="13"/>
        <v>0</v>
      </c>
      <c r="N179" s="5">
        <f t="shared" si="14"/>
        <v>0</v>
      </c>
    </row>
    <row r="180" ht="15.75" customHeight="1">
      <c r="E180" s="39"/>
      <c r="F180" s="39">
        <f t="shared" si="11"/>
        <v>0</v>
      </c>
      <c r="G180" s="45"/>
      <c r="H180" s="29"/>
      <c r="I180" s="7"/>
      <c r="J180" s="7"/>
      <c r="K180" s="44" t="str">
        <f>IFERROR(__xludf.DUMMYFUNCTION("IFERROR(GOOGLEFINANCE(B180,""price""),"""")"),"")</f>
        <v/>
      </c>
      <c r="L180" s="39">
        <f t="shared" si="12"/>
        <v>0</v>
      </c>
      <c r="M180" s="39">
        <f t="shared" si="13"/>
        <v>0</v>
      </c>
      <c r="N180" s="5">
        <f t="shared" si="14"/>
        <v>0</v>
      </c>
    </row>
    <row r="181" ht="15.75" customHeight="1">
      <c r="E181" s="39"/>
      <c r="F181" s="39">
        <f t="shared" si="11"/>
        <v>0</v>
      </c>
      <c r="G181" s="45"/>
      <c r="H181" s="29"/>
      <c r="I181" s="7"/>
      <c r="J181" s="7"/>
      <c r="K181" s="44" t="str">
        <f>IFERROR(__xludf.DUMMYFUNCTION("IFERROR(GOOGLEFINANCE(B181,""price""),"""")"),"")</f>
        <v/>
      </c>
      <c r="L181" s="39">
        <f t="shared" si="12"/>
        <v>0</v>
      </c>
      <c r="M181" s="39">
        <f t="shared" si="13"/>
        <v>0</v>
      </c>
      <c r="N181" s="5">
        <f t="shared" si="14"/>
        <v>0</v>
      </c>
    </row>
    <row r="182" ht="15.75" customHeight="1">
      <c r="E182" s="39"/>
      <c r="F182" s="39">
        <f t="shared" si="11"/>
        <v>0</v>
      </c>
      <c r="G182" s="45"/>
      <c r="H182" s="29"/>
      <c r="I182" s="7"/>
      <c r="J182" s="7"/>
      <c r="K182" s="44" t="str">
        <f>IFERROR(__xludf.DUMMYFUNCTION("IFERROR(GOOGLEFINANCE(B182,""price""),"""")"),"")</f>
        <v/>
      </c>
      <c r="L182" s="39">
        <f t="shared" si="12"/>
        <v>0</v>
      </c>
      <c r="M182" s="39">
        <f t="shared" si="13"/>
        <v>0</v>
      </c>
      <c r="N182" s="5">
        <f t="shared" si="14"/>
        <v>0</v>
      </c>
    </row>
    <row r="183" ht="15.75" customHeight="1">
      <c r="E183" s="39"/>
      <c r="F183" s="39">
        <f t="shared" si="11"/>
        <v>0</v>
      </c>
      <c r="G183" s="45"/>
      <c r="H183" s="29"/>
      <c r="I183" s="7"/>
      <c r="J183" s="7"/>
      <c r="K183" s="44" t="str">
        <f>IFERROR(__xludf.DUMMYFUNCTION("IFERROR(GOOGLEFINANCE(B183,""price""),"""")"),"")</f>
        <v/>
      </c>
      <c r="L183" s="39">
        <f t="shared" si="12"/>
        <v>0</v>
      </c>
      <c r="M183" s="39">
        <f t="shared" si="13"/>
        <v>0</v>
      </c>
      <c r="N183" s="5">
        <f t="shared" si="14"/>
        <v>0</v>
      </c>
    </row>
    <row r="184" ht="15.75" customHeight="1">
      <c r="E184" s="39"/>
      <c r="F184" s="39">
        <f t="shared" si="11"/>
        <v>0</v>
      </c>
      <c r="G184" s="45"/>
      <c r="H184" s="29"/>
      <c r="I184" s="7"/>
      <c r="J184" s="7"/>
      <c r="K184" s="44" t="str">
        <f>IFERROR(__xludf.DUMMYFUNCTION("IFERROR(GOOGLEFINANCE(B184,""price""),"""")"),"")</f>
        <v/>
      </c>
      <c r="L184" s="39">
        <f t="shared" si="12"/>
        <v>0</v>
      </c>
      <c r="M184" s="39">
        <f t="shared" si="13"/>
        <v>0</v>
      </c>
      <c r="N184" s="5">
        <f t="shared" si="14"/>
        <v>0</v>
      </c>
    </row>
    <row r="185" ht="15.75" customHeight="1">
      <c r="E185" s="39"/>
      <c r="F185" s="39">
        <f t="shared" si="11"/>
        <v>0</v>
      </c>
      <c r="G185" s="45"/>
      <c r="H185" s="29"/>
      <c r="I185" s="7"/>
      <c r="J185" s="7"/>
      <c r="K185" s="44" t="str">
        <f>IFERROR(__xludf.DUMMYFUNCTION("IFERROR(GOOGLEFINANCE(B185,""price""),"""")"),"")</f>
        <v/>
      </c>
      <c r="L185" s="39">
        <f t="shared" si="12"/>
        <v>0</v>
      </c>
      <c r="M185" s="39">
        <f t="shared" si="13"/>
        <v>0</v>
      </c>
      <c r="N185" s="5">
        <f t="shared" si="14"/>
        <v>0</v>
      </c>
    </row>
    <row r="186" ht="15.75" customHeight="1">
      <c r="E186" s="39"/>
      <c r="F186" s="39">
        <f t="shared" si="11"/>
        <v>0</v>
      </c>
      <c r="G186" s="45"/>
      <c r="H186" s="29"/>
      <c r="I186" s="7"/>
      <c r="J186" s="7"/>
      <c r="K186" s="44" t="str">
        <f>IFERROR(__xludf.DUMMYFUNCTION("IFERROR(GOOGLEFINANCE(B186,""price""),"""")"),"")</f>
        <v/>
      </c>
      <c r="L186" s="39">
        <f t="shared" si="12"/>
        <v>0</v>
      </c>
      <c r="M186" s="39">
        <f t="shared" si="13"/>
        <v>0</v>
      </c>
      <c r="N186" s="5">
        <f t="shared" si="14"/>
        <v>0</v>
      </c>
    </row>
    <row r="187" ht="15.75" customHeight="1">
      <c r="E187" s="39"/>
      <c r="F187" s="39">
        <f t="shared" si="11"/>
        <v>0</v>
      </c>
      <c r="G187" s="45"/>
      <c r="H187" s="29"/>
      <c r="I187" s="7"/>
      <c r="J187" s="7"/>
      <c r="K187" s="44" t="str">
        <f>IFERROR(__xludf.DUMMYFUNCTION("IFERROR(GOOGLEFINANCE(B187,""price""),"""")"),"")</f>
        <v/>
      </c>
      <c r="L187" s="39">
        <f t="shared" si="12"/>
        <v>0</v>
      </c>
      <c r="M187" s="39">
        <f t="shared" si="13"/>
        <v>0</v>
      </c>
      <c r="N187" s="5">
        <f t="shared" si="14"/>
        <v>0</v>
      </c>
    </row>
    <row r="188" ht="15.75" customHeight="1">
      <c r="E188" s="39"/>
      <c r="F188" s="39">
        <f t="shared" si="11"/>
        <v>0</v>
      </c>
      <c r="G188" s="45"/>
      <c r="H188" s="29"/>
      <c r="I188" s="7"/>
      <c r="J188" s="7"/>
      <c r="K188" s="44" t="str">
        <f>IFERROR(__xludf.DUMMYFUNCTION("IFERROR(GOOGLEFINANCE(B188,""price""),"""")"),"")</f>
        <v/>
      </c>
      <c r="L188" s="39">
        <f t="shared" si="12"/>
        <v>0</v>
      </c>
      <c r="M188" s="39">
        <f t="shared" si="13"/>
        <v>0</v>
      </c>
      <c r="N188" s="5">
        <f t="shared" si="14"/>
        <v>0</v>
      </c>
    </row>
    <row r="189" ht="15.75" customHeight="1">
      <c r="E189" s="39"/>
      <c r="F189" s="39">
        <f t="shared" si="11"/>
        <v>0</v>
      </c>
      <c r="G189" s="45"/>
      <c r="H189" s="29"/>
      <c r="I189" s="7"/>
      <c r="J189" s="7"/>
      <c r="K189" s="44" t="str">
        <f>IFERROR(__xludf.DUMMYFUNCTION("IFERROR(GOOGLEFINANCE(B189,""price""),"""")"),"")</f>
        <v/>
      </c>
      <c r="L189" s="39">
        <f t="shared" si="12"/>
        <v>0</v>
      </c>
      <c r="M189" s="39">
        <f t="shared" si="13"/>
        <v>0</v>
      </c>
      <c r="N189" s="5">
        <f t="shared" si="14"/>
        <v>0</v>
      </c>
    </row>
    <row r="190" ht="15.75" customHeight="1">
      <c r="E190" s="39"/>
      <c r="F190" s="39">
        <f t="shared" si="11"/>
        <v>0</v>
      </c>
      <c r="G190" s="45"/>
      <c r="H190" s="29"/>
      <c r="I190" s="7"/>
      <c r="J190" s="7"/>
      <c r="K190" s="44" t="str">
        <f>IFERROR(__xludf.DUMMYFUNCTION("IFERROR(GOOGLEFINANCE(B190,""price""),"""")"),"")</f>
        <v/>
      </c>
      <c r="L190" s="39">
        <f t="shared" si="12"/>
        <v>0</v>
      </c>
      <c r="M190" s="39">
        <f t="shared" si="13"/>
        <v>0</v>
      </c>
      <c r="N190" s="5">
        <f t="shared" si="14"/>
        <v>0</v>
      </c>
    </row>
    <row r="191" ht="15.75" customHeight="1">
      <c r="E191" s="39"/>
      <c r="F191" s="39">
        <f t="shared" si="11"/>
        <v>0</v>
      </c>
      <c r="G191" s="45"/>
      <c r="H191" s="29"/>
      <c r="I191" s="7"/>
      <c r="J191" s="7"/>
      <c r="K191" s="44" t="str">
        <f>IFERROR(__xludf.DUMMYFUNCTION("IFERROR(GOOGLEFINANCE(B191,""price""),"""")"),"")</f>
        <v/>
      </c>
      <c r="L191" s="39">
        <f t="shared" si="12"/>
        <v>0</v>
      </c>
      <c r="M191" s="39">
        <f t="shared" si="13"/>
        <v>0</v>
      </c>
      <c r="N191" s="5">
        <f t="shared" si="14"/>
        <v>0</v>
      </c>
    </row>
    <row r="192" ht="15.75" customHeight="1">
      <c r="E192" s="39"/>
      <c r="F192" s="39">
        <f t="shared" si="11"/>
        <v>0</v>
      </c>
      <c r="G192" s="45"/>
      <c r="H192" s="29"/>
      <c r="I192" s="7"/>
      <c r="J192" s="7"/>
      <c r="K192" s="44" t="str">
        <f>IFERROR(__xludf.DUMMYFUNCTION("IFERROR(GOOGLEFINANCE(B192,""price""),"""")"),"")</f>
        <v/>
      </c>
      <c r="L192" s="39">
        <f t="shared" si="12"/>
        <v>0</v>
      </c>
      <c r="M192" s="39">
        <f t="shared" si="13"/>
        <v>0</v>
      </c>
      <c r="N192" s="5">
        <f t="shared" si="14"/>
        <v>0</v>
      </c>
    </row>
    <row r="193" ht="15.75" customHeight="1">
      <c r="E193" s="39"/>
      <c r="F193" s="39">
        <f t="shared" si="11"/>
        <v>0</v>
      </c>
      <c r="G193" s="45"/>
      <c r="H193" s="29"/>
      <c r="I193" s="7"/>
      <c r="J193" s="7"/>
      <c r="K193" s="44" t="str">
        <f>IFERROR(__xludf.DUMMYFUNCTION("IFERROR(GOOGLEFINANCE(B193,""price""),"""")"),"")</f>
        <v/>
      </c>
      <c r="L193" s="39">
        <f t="shared" si="12"/>
        <v>0</v>
      </c>
      <c r="M193" s="39">
        <f t="shared" si="13"/>
        <v>0</v>
      </c>
      <c r="N193" s="5">
        <f t="shared" si="14"/>
        <v>0</v>
      </c>
    </row>
    <row r="194" ht="15.75" customHeight="1">
      <c r="E194" s="39"/>
      <c r="F194" s="39">
        <f t="shared" si="11"/>
        <v>0</v>
      </c>
      <c r="G194" s="45"/>
      <c r="H194" s="29"/>
      <c r="I194" s="7"/>
      <c r="J194" s="7"/>
      <c r="K194" s="44" t="str">
        <f>IFERROR(__xludf.DUMMYFUNCTION("IFERROR(GOOGLEFINANCE(B194,""price""),"""")"),"")</f>
        <v/>
      </c>
      <c r="L194" s="39">
        <f t="shared" si="12"/>
        <v>0</v>
      </c>
      <c r="M194" s="39">
        <f t="shared" si="13"/>
        <v>0</v>
      </c>
      <c r="N194" s="5">
        <f t="shared" si="14"/>
        <v>0</v>
      </c>
    </row>
    <row r="195" ht="15.75" customHeight="1">
      <c r="E195" s="39"/>
      <c r="F195" s="39">
        <f t="shared" si="11"/>
        <v>0</v>
      </c>
      <c r="G195" s="45"/>
      <c r="H195" s="29"/>
      <c r="I195" s="7"/>
      <c r="J195" s="7"/>
      <c r="K195" s="44" t="str">
        <f>IFERROR(__xludf.DUMMYFUNCTION("IFERROR(GOOGLEFINANCE(B195,""price""),"""")"),"")</f>
        <v/>
      </c>
      <c r="L195" s="39">
        <f t="shared" si="12"/>
        <v>0</v>
      </c>
      <c r="M195" s="39">
        <f t="shared" si="13"/>
        <v>0</v>
      </c>
      <c r="N195" s="5">
        <f t="shared" si="14"/>
        <v>0</v>
      </c>
    </row>
    <row r="196" ht="15.75" customHeight="1">
      <c r="E196" s="39"/>
      <c r="F196" s="39">
        <f t="shared" si="11"/>
        <v>0</v>
      </c>
      <c r="G196" s="45"/>
      <c r="H196" s="29"/>
      <c r="I196" s="7"/>
      <c r="J196" s="7"/>
      <c r="K196" s="44" t="str">
        <f>IFERROR(__xludf.DUMMYFUNCTION("IFERROR(GOOGLEFINANCE(B196,""price""),"""")"),"")</f>
        <v/>
      </c>
      <c r="L196" s="39">
        <f t="shared" si="12"/>
        <v>0</v>
      </c>
      <c r="M196" s="39">
        <f t="shared" si="13"/>
        <v>0</v>
      </c>
      <c r="N196" s="5">
        <f t="shared" si="14"/>
        <v>0</v>
      </c>
    </row>
    <row r="197" ht="15.75" customHeight="1">
      <c r="E197" s="39"/>
      <c r="F197" s="39">
        <f t="shared" si="11"/>
        <v>0</v>
      </c>
      <c r="G197" s="45"/>
      <c r="H197" s="29"/>
      <c r="I197" s="7"/>
      <c r="J197" s="7"/>
      <c r="K197" s="44" t="str">
        <f>IFERROR(__xludf.DUMMYFUNCTION("IFERROR(GOOGLEFINANCE(B197,""price""),"""")"),"")</f>
        <v/>
      </c>
      <c r="L197" s="39">
        <f t="shared" si="12"/>
        <v>0</v>
      </c>
      <c r="M197" s="39">
        <f t="shared" si="13"/>
        <v>0</v>
      </c>
      <c r="N197" s="5">
        <f t="shared" si="14"/>
        <v>0</v>
      </c>
    </row>
    <row r="198" ht="15.75" customHeight="1">
      <c r="E198" s="39"/>
      <c r="F198" s="39">
        <f t="shared" si="11"/>
        <v>0</v>
      </c>
      <c r="G198" s="45"/>
      <c r="H198" s="29"/>
      <c r="I198" s="7"/>
      <c r="J198" s="7"/>
      <c r="K198" s="44" t="str">
        <f>IFERROR(__xludf.DUMMYFUNCTION("IFERROR(GOOGLEFINANCE(B198,""price""),"""")"),"")</f>
        <v/>
      </c>
      <c r="L198" s="39">
        <f t="shared" si="12"/>
        <v>0</v>
      </c>
      <c r="M198" s="39">
        <f t="shared" si="13"/>
        <v>0</v>
      </c>
      <c r="N198" s="5">
        <f t="shared" si="14"/>
        <v>0</v>
      </c>
    </row>
    <row r="199" ht="15.75" customHeight="1">
      <c r="E199" s="39"/>
      <c r="F199" s="39">
        <f t="shared" si="11"/>
        <v>0</v>
      </c>
      <c r="G199" s="45"/>
      <c r="H199" s="29"/>
      <c r="I199" s="7"/>
      <c r="J199" s="7"/>
      <c r="K199" s="44" t="str">
        <f>IFERROR(__xludf.DUMMYFUNCTION("IFERROR(GOOGLEFINANCE(B199,""price""),"""")"),"")</f>
        <v/>
      </c>
      <c r="L199" s="39">
        <f t="shared" si="12"/>
        <v>0</v>
      </c>
      <c r="M199" s="39">
        <f t="shared" si="13"/>
        <v>0</v>
      </c>
      <c r="N199" s="5">
        <f t="shared" si="14"/>
        <v>0</v>
      </c>
    </row>
    <row r="200" ht="15.75" customHeight="1">
      <c r="E200" s="39"/>
      <c r="F200" s="39">
        <f t="shared" si="11"/>
        <v>0</v>
      </c>
      <c r="G200" s="45"/>
      <c r="H200" s="29"/>
      <c r="I200" s="7"/>
      <c r="J200" s="7"/>
      <c r="K200" s="44" t="str">
        <f>IFERROR(__xludf.DUMMYFUNCTION("IFERROR(GOOGLEFINANCE(B200,""price""),"""")"),"")</f>
        <v/>
      </c>
      <c r="L200" s="39">
        <f t="shared" si="12"/>
        <v>0</v>
      </c>
      <c r="M200" s="39">
        <f t="shared" si="13"/>
        <v>0</v>
      </c>
      <c r="N200" s="5">
        <f t="shared" si="14"/>
        <v>0</v>
      </c>
    </row>
    <row r="201" ht="15.75" customHeight="1">
      <c r="E201" s="39"/>
      <c r="F201" s="39">
        <f t="shared" si="11"/>
        <v>0</v>
      </c>
      <c r="G201" s="45"/>
      <c r="H201" s="29"/>
      <c r="I201" s="7"/>
      <c r="J201" s="7"/>
      <c r="K201" s="44" t="str">
        <f>IFERROR(__xludf.DUMMYFUNCTION("IFERROR(GOOGLEFINANCE(B201,""price""),"""")"),"")</f>
        <v/>
      </c>
      <c r="L201" s="39">
        <f t="shared" si="12"/>
        <v>0</v>
      </c>
      <c r="M201" s="39">
        <f t="shared" si="13"/>
        <v>0</v>
      </c>
      <c r="N201" s="5">
        <f t="shared" si="14"/>
        <v>0</v>
      </c>
    </row>
    <row r="202" ht="15.75" customHeight="1">
      <c r="E202" s="39"/>
      <c r="F202" s="39">
        <f t="shared" si="11"/>
        <v>0</v>
      </c>
      <c r="G202" s="45"/>
      <c r="H202" s="29"/>
      <c r="I202" s="7"/>
      <c r="J202" s="7"/>
      <c r="K202" s="44" t="str">
        <f>IFERROR(__xludf.DUMMYFUNCTION("IFERROR(GOOGLEFINANCE(B202,""price""),"""")"),"")</f>
        <v/>
      </c>
      <c r="L202" s="39">
        <f t="shared" si="12"/>
        <v>0</v>
      </c>
      <c r="M202" s="39">
        <f t="shared" si="13"/>
        <v>0</v>
      </c>
      <c r="N202" s="5">
        <f t="shared" si="14"/>
        <v>0</v>
      </c>
    </row>
    <row r="203" ht="15.75" customHeight="1">
      <c r="E203" s="39"/>
      <c r="F203" s="39">
        <f t="shared" si="11"/>
        <v>0</v>
      </c>
      <c r="G203" s="45"/>
      <c r="H203" s="29"/>
      <c r="I203" s="7"/>
      <c r="J203" s="7"/>
      <c r="K203" s="44" t="str">
        <f>IFERROR(__xludf.DUMMYFUNCTION("IFERROR(GOOGLEFINANCE(B203,""price""),"""")"),"")</f>
        <v/>
      </c>
      <c r="L203" s="39">
        <f t="shared" si="12"/>
        <v>0</v>
      </c>
      <c r="M203" s="39">
        <f t="shared" si="13"/>
        <v>0</v>
      </c>
      <c r="N203" s="5">
        <f t="shared" si="14"/>
        <v>0</v>
      </c>
    </row>
    <row r="204" ht="15.75" customHeight="1">
      <c r="E204" s="39"/>
      <c r="F204" s="39">
        <f t="shared" si="11"/>
        <v>0</v>
      </c>
      <c r="G204" s="45"/>
      <c r="H204" s="29"/>
      <c r="I204" s="7"/>
      <c r="J204" s="7"/>
      <c r="K204" s="44" t="str">
        <f>IFERROR(__xludf.DUMMYFUNCTION("IFERROR(GOOGLEFINANCE(B204,""price""),"""")"),"")</f>
        <v/>
      </c>
      <c r="L204" s="39">
        <f t="shared" si="12"/>
        <v>0</v>
      </c>
      <c r="M204" s="39">
        <f t="shared" si="13"/>
        <v>0</v>
      </c>
      <c r="N204" s="5">
        <f t="shared" si="14"/>
        <v>0</v>
      </c>
    </row>
    <row r="205" ht="15.75" customHeight="1">
      <c r="E205" s="39"/>
      <c r="F205" s="39">
        <f t="shared" si="11"/>
        <v>0</v>
      </c>
      <c r="G205" s="45"/>
      <c r="H205" s="29"/>
      <c r="I205" s="7"/>
      <c r="J205" s="7"/>
      <c r="K205" s="44" t="str">
        <f>IFERROR(__xludf.DUMMYFUNCTION("IFERROR(GOOGLEFINANCE(B205,""price""),"""")"),"")</f>
        <v/>
      </c>
      <c r="L205" s="39">
        <f t="shared" si="12"/>
        <v>0</v>
      </c>
      <c r="M205" s="39">
        <f t="shared" si="13"/>
        <v>0</v>
      </c>
      <c r="N205" s="5">
        <f t="shared" si="14"/>
        <v>0</v>
      </c>
    </row>
    <row r="206" ht="15.75" customHeight="1">
      <c r="E206" s="39"/>
      <c r="F206" s="39">
        <f t="shared" si="11"/>
        <v>0</v>
      </c>
      <c r="G206" s="45"/>
      <c r="H206" s="29"/>
      <c r="I206" s="7"/>
      <c r="J206" s="7"/>
      <c r="K206" s="44" t="str">
        <f>IFERROR(__xludf.DUMMYFUNCTION("IFERROR(GOOGLEFINANCE(B206,""price""),"""")"),"")</f>
        <v/>
      </c>
      <c r="L206" s="39">
        <f t="shared" si="12"/>
        <v>0</v>
      </c>
      <c r="M206" s="39">
        <f t="shared" si="13"/>
        <v>0</v>
      </c>
      <c r="N206" s="5">
        <f t="shared" si="14"/>
        <v>0</v>
      </c>
    </row>
    <row r="207" ht="15.75" customHeight="1">
      <c r="E207" s="39"/>
      <c r="F207" s="39">
        <f t="shared" si="11"/>
        <v>0</v>
      </c>
      <c r="G207" s="45"/>
      <c r="H207" s="29"/>
      <c r="I207" s="7"/>
      <c r="J207" s="7"/>
      <c r="K207" s="44" t="str">
        <f>IFERROR(__xludf.DUMMYFUNCTION("IFERROR(GOOGLEFINANCE(B207,""price""),"""")"),"")</f>
        <v/>
      </c>
      <c r="L207" s="39">
        <f t="shared" si="12"/>
        <v>0</v>
      </c>
      <c r="M207" s="39">
        <f t="shared" si="13"/>
        <v>0</v>
      </c>
      <c r="N207" s="5">
        <f t="shared" si="14"/>
        <v>0</v>
      </c>
    </row>
    <row r="208" ht="15.75" customHeight="1">
      <c r="E208" s="39"/>
      <c r="F208" s="39">
        <f t="shared" si="11"/>
        <v>0</v>
      </c>
      <c r="G208" s="45"/>
      <c r="H208" s="29"/>
      <c r="I208" s="7"/>
      <c r="J208" s="7"/>
      <c r="K208" s="44" t="str">
        <f>IFERROR(__xludf.DUMMYFUNCTION("IFERROR(GOOGLEFINANCE(B208,""price""),"""")"),"")</f>
        <v/>
      </c>
      <c r="L208" s="39">
        <f t="shared" si="12"/>
        <v>0</v>
      </c>
      <c r="M208" s="39">
        <f t="shared" si="13"/>
        <v>0</v>
      </c>
      <c r="N208" s="5">
        <f t="shared" si="14"/>
        <v>0</v>
      </c>
    </row>
    <row r="209" ht="15.75" customHeight="1">
      <c r="E209" s="39"/>
      <c r="F209" s="39">
        <f t="shared" si="11"/>
        <v>0</v>
      </c>
      <c r="G209" s="45"/>
      <c r="H209" s="29"/>
      <c r="I209" s="7"/>
      <c r="J209" s="7"/>
      <c r="K209" s="44" t="str">
        <f>IFERROR(__xludf.DUMMYFUNCTION("IFERROR(GOOGLEFINANCE(B209,""price""),"""")"),"")</f>
        <v/>
      </c>
      <c r="L209" s="39">
        <f t="shared" si="12"/>
        <v>0</v>
      </c>
      <c r="M209" s="39">
        <f t="shared" si="13"/>
        <v>0</v>
      </c>
      <c r="N209" s="5">
        <f t="shared" si="14"/>
        <v>0</v>
      </c>
    </row>
    <row r="210" ht="15.75" customHeight="1">
      <c r="E210" s="39"/>
      <c r="F210" s="39">
        <f t="shared" si="11"/>
        <v>0</v>
      </c>
      <c r="G210" s="45"/>
      <c r="H210" s="29"/>
      <c r="I210" s="7"/>
      <c r="J210" s="7"/>
      <c r="K210" s="44" t="str">
        <f>IFERROR(__xludf.DUMMYFUNCTION("IFERROR(GOOGLEFINANCE(B210,""price""),"""")"),"")</f>
        <v/>
      </c>
      <c r="L210" s="39">
        <f t="shared" si="12"/>
        <v>0</v>
      </c>
      <c r="M210" s="39">
        <f t="shared" si="13"/>
        <v>0</v>
      </c>
      <c r="N210" s="5">
        <f t="shared" si="14"/>
        <v>0</v>
      </c>
    </row>
    <row r="211" ht="15.75" customHeight="1">
      <c r="E211" s="39"/>
      <c r="F211" s="39">
        <f t="shared" si="11"/>
        <v>0</v>
      </c>
      <c r="G211" s="45"/>
      <c r="H211" s="29"/>
      <c r="I211" s="7"/>
      <c r="J211" s="7"/>
      <c r="K211" s="44" t="str">
        <f>IFERROR(__xludf.DUMMYFUNCTION("IFERROR(GOOGLEFINANCE(B211,""price""),"""")"),"")</f>
        <v/>
      </c>
      <c r="L211" s="39">
        <f t="shared" si="12"/>
        <v>0</v>
      </c>
      <c r="M211" s="39">
        <f t="shared" si="13"/>
        <v>0</v>
      </c>
      <c r="N211" s="5">
        <f t="shared" si="14"/>
        <v>0</v>
      </c>
    </row>
    <row r="212" ht="15.75" customHeight="1">
      <c r="E212" s="39"/>
      <c r="F212" s="39">
        <f t="shared" si="11"/>
        <v>0</v>
      </c>
      <c r="G212" s="45"/>
      <c r="H212" s="29"/>
      <c r="I212" s="7"/>
      <c r="J212" s="7"/>
      <c r="K212" s="44" t="str">
        <f>IFERROR(__xludf.DUMMYFUNCTION("IFERROR(GOOGLEFINANCE(B212,""price""),"""")"),"")</f>
        <v/>
      </c>
      <c r="L212" s="39">
        <f t="shared" si="12"/>
        <v>0</v>
      </c>
      <c r="M212" s="39">
        <f t="shared" si="13"/>
        <v>0</v>
      </c>
      <c r="N212" s="5">
        <f t="shared" si="14"/>
        <v>0</v>
      </c>
    </row>
    <row r="213" ht="15.75" customHeight="1">
      <c r="E213" s="39"/>
      <c r="F213" s="39">
        <f t="shared" si="11"/>
        <v>0</v>
      </c>
      <c r="G213" s="45"/>
      <c r="H213" s="29"/>
      <c r="I213" s="7"/>
      <c r="J213" s="7"/>
      <c r="K213" s="44" t="str">
        <f>IFERROR(__xludf.DUMMYFUNCTION("IFERROR(GOOGLEFINANCE(B213,""price""),"""")"),"")</f>
        <v/>
      </c>
      <c r="L213" s="39">
        <f t="shared" si="12"/>
        <v>0</v>
      </c>
      <c r="M213" s="39">
        <f t="shared" si="13"/>
        <v>0</v>
      </c>
      <c r="N213" s="5">
        <f t="shared" si="14"/>
        <v>0</v>
      </c>
    </row>
    <row r="214" ht="15.75" customHeight="1">
      <c r="E214" s="39"/>
      <c r="F214" s="39">
        <f t="shared" si="11"/>
        <v>0</v>
      </c>
      <c r="G214" s="45"/>
      <c r="H214" s="29"/>
      <c r="I214" s="7"/>
      <c r="J214" s="7"/>
      <c r="K214" s="44" t="str">
        <f>IFERROR(__xludf.DUMMYFUNCTION("IFERROR(GOOGLEFINANCE(B214,""price""),"""")"),"")</f>
        <v/>
      </c>
      <c r="L214" s="39">
        <f t="shared" si="12"/>
        <v>0</v>
      </c>
      <c r="M214" s="39">
        <f t="shared" si="13"/>
        <v>0</v>
      </c>
      <c r="N214" s="5">
        <f t="shared" si="14"/>
        <v>0</v>
      </c>
    </row>
    <row r="215" ht="15.75" customHeight="1">
      <c r="E215" s="39"/>
      <c r="F215" s="39">
        <f t="shared" si="11"/>
        <v>0</v>
      </c>
      <c r="G215" s="45"/>
      <c r="H215" s="29"/>
      <c r="I215" s="7"/>
      <c r="J215" s="7"/>
      <c r="K215" s="44" t="str">
        <f>IFERROR(__xludf.DUMMYFUNCTION("IFERROR(GOOGLEFINANCE(B215,""price""),"""")"),"")</f>
        <v/>
      </c>
      <c r="L215" s="39">
        <f t="shared" si="12"/>
        <v>0</v>
      </c>
      <c r="M215" s="39">
        <f t="shared" si="13"/>
        <v>0</v>
      </c>
      <c r="N215" s="5">
        <f t="shared" si="14"/>
        <v>0</v>
      </c>
    </row>
    <row r="216" ht="15.75" customHeight="1">
      <c r="E216" s="39"/>
      <c r="F216" s="39">
        <f t="shared" si="11"/>
        <v>0</v>
      </c>
      <c r="G216" s="45"/>
      <c r="H216" s="29"/>
      <c r="I216" s="7"/>
      <c r="J216" s="7"/>
      <c r="K216" s="44" t="str">
        <f>IFERROR(__xludf.DUMMYFUNCTION("IFERROR(GOOGLEFINANCE(B216,""price""),"""")"),"")</f>
        <v/>
      </c>
      <c r="L216" s="39">
        <f t="shared" si="12"/>
        <v>0</v>
      </c>
      <c r="M216" s="39">
        <f t="shared" si="13"/>
        <v>0</v>
      </c>
      <c r="N216" s="5">
        <f t="shared" si="14"/>
        <v>0</v>
      </c>
    </row>
    <row r="217" ht="15.75" customHeight="1">
      <c r="E217" s="39"/>
      <c r="F217" s="39">
        <f t="shared" si="11"/>
        <v>0</v>
      </c>
      <c r="G217" s="45"/>
      <c r="H217" s="29"/>
      <c r="I217" s="7"/>
      <c r="J217" s="7"/>
      <c r="K217" s="44" t="str">
        <f>IFERROR(__xludf.DUMMYFUNCTION("IFERROR(GOOGLEFINANCE(B217,""price""),"""")"),"")</f>
        <v/>
      </c>
      <c r="L217" s="39">
        <f t="shared" si="12"/>
        <v>0</v>
      </c>
      <c r="M217" s="39">
        <f t="shared" si="13"/>
        <v>0</v>
      </c>
      <c r="N217" s="5">
        <f t="shared" si="14"/>
        <v>0</v>
      </c>
    </row>
    <row r="218" ht="15.75" customHeight="1">
      <c r="E218" s="39"/>
      <c r="F218" s="39">
        <f t="shared" si="11"/>
        <v>0</v>
      </c>
      <c r="G218" s="45"/>
      <c r="H218" s="29"/>
      <c r="I218" s="7"/>
      <c r="J218" s="7"/>
      <c r="K218" s="44" t="str">
        <f>IFERROR(__xludf.DUMMYFUNCTION("IFERROR(GOOGLEFINANCE(B218,""price""),"""")"),"")</f>
        <v/>
      </c>
      <c r="L218" s="39">
        <f t="shared" si="12"/>
        <v>0</v>
      </c>
      <c r="M218" s="39">
        <f t="shared" si="13"/>
        <v>0</v>
      </c>
      <c r="N218" s="5">
        <f t="shared" si="14"/>
        <v>0</v>
      </c>
    </row>
    <row r="219" ht="15.75" customHeight="1">
      <c r="E219" s="39"/>
      <c r="F219" s="39">
        <f t="shared" si="11"/>
        <v>0</v>
      </c>
      <c r="G219" s="45"/>
      <c r="H219" s="29"/>
      <c r="I219" s="7"/>
      <c r="J219" s="7"/>
      <c r="K219" s="44" t="str">
        <f>IFERROR(__xludf.DUMMYFUNCTION("IFERROR(GOOGLEFINANCE(B219,""price""),"""")"),"")</f>
        <v/>
      </c>
      <c r="L219" s="39">
        <f t="shared" si="12"/>
        <v>0</v>
      </c>
      <c r="M219" s="39">
        <f t="shared" si="13"/>
        <v>0</v>
      </c>
      <c r="N219" s="5">
        <f t="shared" si="14"/>
        <v>0</v>
      </c>
    </row>
    <row r="220" ht="15.75" customHeight="1">
      <c r="E220" s="39"/>
      <c r="F220" s="39">
        <f t="shared" si="11"/>
        <v>0</v>
      </c>
      <c r="G220" s="45"/>
      <c r="H220" s="29"/>
      <c r="I220" s="7"/>
      <c r="J220" s="7"/>
      <c r="K220" s="44" t="str">
        <f>IFERROR(__xludf.DUMMYFUNCTION("IFERROR(GOOGLEFINANCE(B220,""price""),"""")"),"")</f>
        <v/>
      </c>
      <c r="L220" s="39">
        <f t="shared" si="12"/>
        <v>0</v>
      </c>
      <c r="M220" s="39">
        <f t="shared" si="13"/>
        <v>0</v>
      </c>
      <c r="N220" s="5">
        <f t="shared" si="14"/>
        <v>0</v>
      </c>
    </row>
    <row r="221" ht="15.75" customHeight="1">
      <c r="E221" s="39"/>
      <c r="F221" s="39">
        <f t="shared" si="11"/>
        <v>0</v>
      </c>
      <c r="G221" s="45"/>
      <c r="H221" s="29"/>
      <c r="I221" s="7"/>
      <c r="J221" s="7"/>
      <c r="K221" s="44" t="str">
        <f>IFERROR(__xludf.DUMMYFUNCTION("IFERROR(GOOGLEFINANCE(B221,""price""),"""")"),"")</f>
        <v/>
      </c>
      <c r="L221" s="39">
        <f t="shared" si="12"/>
        <v>0</v>
      </c>
      <c r="M221" s="39">
        <f t="shared" si="13"/>
        <v>0</v>
      </c>
      <c r="N221" s="5">
        <f t="shared" si="14"/>
        <v>0</v>
      </c>
    </row>
    <row r="222" ht="15.75" customHeight="1">
      <c r="E222" s="39"/>
      <c r="F222" s="39">
        <f t="shared" si="11"/>
        <v>0</v>
      </c>
      <c r="G222" s="45"/>
      <c r="H222" s="29"/>
      <c r="I222" s="7"/>
      <c r="J222" s="7"/>
      <c r="K222" s="44" t="str">
        <f>IFERROR(__xludf.DUMMYFUNCTION("IFERROR(GOOGLEFINANCE(B222,""price""),"""")"),"")</f>
        <v/>
      </c>
      <c r="L222" s="39">
        <f t="shared" si="12"/>
        <v>0</v>
      </c>
      <c r="M222" s="39">
        <f t="shared" si="13"/>
        <v>0</v>
      </c>
      <c r="N222" s="5">
        <f t="shared" si="14"/>
        <v>0</v>
      </c>
    </row>
    <row r="223" ht="15.75" customHeight="1">
      <c r="E223" s="39"/>
      <c r="F223" s="39">
        <f t="shared" si="11"/>
        <v>0</v>
      </c>
      <c r="G223" s="45"/>
      <c r="H223" s="29"/>
      <c r="I223" s="7"/>
      <c r="J223" s="7"/>
      <c r="K223" s="44" t="str">
        <f>IFERROR(__xludf.DUMMYFUNCTION("IFERROR(GOOGLEFINANCE(B223,""price""),"""")"),"")</f>
        <v/>
      </c>
      <c r="L223" s="39">
        <f t="shared" si="12"/>
        <v>0</v>
      </c>
      <c r="M223" s="39">
        <f t="shared" si="13"/>
        <v>0</v>
      </c>
      <c r="N223" s="5">
        <f t="shared" si="14"/>
        <v>0</v>
      </c>
    </row>
    <row r="224" ht="15.75" customHeight="1">
      <c r="E224" s="39"/>
      <c r="F224" s="39">
        <f t="shared" si="11"/>
        <v>0</v>
      </c>
      <c r="G224" s="45"/>
      <c r="H224" s="29"/>
      <c r="I224" s="7"/>
      <c r="J224" s="7"/>
      <c r="K224" s="44" t="str">
        <f>IFERROR(__xludf.DUMMYFUNCTION("IFERROR(GOOGLEFINANCE(B224,""price""),"""")"),"")</f>
        <v/>
      </c>
      <c r="L224" s="39">
        <f t="shared" si="12"/>
        <v>0</v>
      </c>
      <c r="M224" s="39">
        <f t="shared" si="13"/>
        <v>0</v>
      </c>
      <c r="N224" s="5">
        <f t="shared" si="14"/>
        <v>0</v>
      </c>
    </row>
    <row r="225" ht="15.75" customHeight="1">
      <c r="E225" s="39"/>
      <c r="F225" s="39">
        <f t="shared" si="11"/>
        <v>0</v>
      </c>
      <c r="G225" s="45"/>
      <c r="H225" s="29"/>
      <c r="I225" s="7"/>
      <c r="J225" s="7"/>
      <c r="K225" s="44" t="str">
        <f>IFERROR(__xludf.DUMMYFUNCTION("IFERROR(GOOGLEFINANCE(B225,""price""),"""")"),"")</f>
        <v/>
      </c>
      <c r="L225" s="39">
        <f t="shared" si="12"/>
        <v>0</v>
      </c>
      <c r="M225" s="39">
        <f t="shared" si="13"/>
        <v>0</v>
      </c>
      <c r="N225" s="5">
        <f t="shared" si="14"/>
        <v>0</v>
      </c>
    </row>
    <row r="226" ht="15.75" customHeight="1">
      <c r="E226" s="39"/>
      <c r="F226" s="39">
        <f t="shared" si="11"/>
        <v>0</v>
      </c>
      <c r="G226" s="45"/>
      <c r="H226" s="29"/>
      <c r="I226" s="7"/>
      <c r="J226" s="7"/>
      <c r="K226" s="44" t="str">
        <f>IFERROR(__xludf.DUMMYFUNCTION("IFERROR(GOOGLEFINANCE(B226,""price""),"""")"),"")</f>
        <v/>
      </c>
      <c r="L226" s="39">
        <f t="shared" si="12"/>
        <v>0</v>
      </c>
      <c r="M226" s="39">
        <f t="shared" si="13"/>
        <v>0</v>
      </c>
      <c r="N226" s="5">
        <f t="shared" si="14"/>
        <v>0</v>
      </c>
    </row>
    <row r="227" ht="15.75" customHeight="1">
      <c r="E227" s="39"/>
      <c r="F227" s="39">
        <f t="shared" si="11"/>
        <v>0</v>
      </c>
      <c r="G227" s="45"/>
      <c r="H227" s="29"/>
      <c r="I227" s="7"/>
      <c r="J227" s="7"/>
      <c r="K227" s="44" t="str">
        <f>IFERROR(__xludf.DUMMYFUNCTION("IFERROR(GOOGLEFINANCE(B227,""price""),"""")"),"")</f>
        <v/>
      </c>
      <c r="L227" s="39">
        <f t="shared" si="12"/>
        <v>0</v>
      </c>
      <c r="M227" s="39">
        <f t="shared" si="13"/>
        <v>0</v>
      </c>
      <c r="N227" s="5">
        <f t="shared" si="14"/>
        <v>0</v>
      </c>
    </row>
    <row r="228" ht="15.75" customHeight="1">
      <c r="E228" s="39"/>
      <c r="F228" s="39">
        <f t="shared" si="11"/>
        <v>0</v>
      </c>
      <c r="G228" s="45"/>
      <c r="H228" s="29"/>
      <c r="I228" s="7"/>
      <c r="J228" s="7"/>
      <c r="K228" s="44" t="str">
        <f>IFERROR(__xludf.DUMMYFUNCTION("IFERROR(GOOGLEFINANCE(B228,""price""),"""")"),"")</f>
        <v/>
      </c>
      <c r="L228" s="39">
        <f t="shared" si="12"/>
        <v>0</v>
      </c>
      <c r="M228" s="39">
        <f t="shared" si="13"/>
        <v>0</v>
      </c>
      <c r="N228" s="5">
        <f t="shared" si="14"/>
        <v>0</v>
      </c>
    </row>
    <row r="229" ht="15.75" customHeight="1">
      <c r="E229" s="39"/>
      <c r="F229" s="39">
        <f t="shared" si="11"/>
        <v>0</v>
      </c>
      <c r="G229" s="45"/>
      <c r="H229" s="29"/>
      <c r="I229" s="7"/>
      <c r="J229" s="7"/>
      <c r="K229" s="44" t="str">
        <f>IFERROR(__xludf.DUMMYFUNCTION("IFERROR(GOOGLEFINANCE(B229,""price""),"""")"),"")</f>
        <v/>
      </c>
      <c r="L229" s="39">
        <f t="shared" si="12"/>
        <v>0</v>
      </c>
      <c r="M229" s="39">
        <f t="shared" si="13"/>
        <v>0</v>
      </c>
      <c r="N229" s="5">
        <f t="shared" si="14"/>
        <v>0</v>
      </c>
    </row>
    <row r="230" ht="15.75" customHeight="1">
      <c r="E230" s="39"/>
      <c r="F230" s="39">
        <f t="shared" si="11"/>
        <v>0</v>
      </c>
      <c r="G230" s="45"/>
      <c r="H230" s="29"/>
      <c r="I230" s="7"/>
      <c r="J230" s="7"/>
      <c r="K230" s="44" t="str">
        <f>IFERROR(__xludf.DUMMYFUNCTION("IFERROR(GOOGLEFINANCE(B230,""price""),"""")"),"")</f>
        <v/>
      </c>
      <c r="L230" s="39">
        <f t="shared" si="12"/>
        <v>0</v>
      </c>
      <c r="M230" s="39">
        <f t="shared" si="13"/>
        <v>0</v>
      </c>
      <c r="N230" s="5">
        <f t="shared" si="14"/>
        <v>0</v>
      </c>
    </row>
    <row r="231" ht="15.75" customHeight="1">
      <c r="E231" s="39"/>
      <c r="F231" s="39">
        <f t="shared" si="11"/>
        <v>0</v>
      </c>
      <c r="G231" s="45"/>
      <c r="H231" s="29"/>
      <c r="I231" s="7"/>
      <c r="J231" s="7"/>
      <c r="K231" s="44" t="str">
        <f>IFERROR(__xludf.DUMMYFUNCTION("IFERROR(GOOGLEFINANCE(B231,""price""),"""")"),"")</f>
        <v/>
      </c>
      <c r="L231" s="39">
        <f t="shared" si="12"/>
        <v>0</v>
      </c>
      <c r="M231" s="39">
        <f t="shared" si="13"/>
        <v>0</v>
      </c>
      <c r="N231" s="5">
        <f t="shared" si="14"/>
        <v>0</v>
      </c>
    </row>
    <row r="232" ht="15.75" customHeight="1">
      <c r="E232" s="39"/>
      <c r="F232" s="39">
        <f t="shared" si="11"/>
        <v>0</v>
      </c>
      <c r="G232" s="45"/>
      <c r="H232" s="29"/>
      <c r="I232" s="7"/>
      <c r="J232" s="7"/>
      <c r="K232" s="44" t="str">
        <f>IFERROR(__xludf.DUMMYFUNCTION("IFERROR(GOOGLEFINANCE(B232,""price""),"""")"),"")</f>
        <v/>
      </c>
      <c r="L232" s="39">
        <f t="shared" si="12"/>
        <v>0</v>
      </c>
      <c r="M232" s="39">
        <f t="shared" si="13"/>
        <v>0</v>
      </c>
      <c r="N232" s="5">
        <f t="shared" si="14"/>
        <v>0</v>
      </c>
    </row>
    <row r="233" ht="15.75" customHeight="1">
      <c r="E233" s="39"/>
      <c r="F233" s="39">
        <f t="shared" si="11"/>
        <v>0</v>
      </c>
      <c r="G233" s="45"/>
      <c r="H233" s="29"/>
      <c r="I233" s="7"/>
      <c r="J233" s="7"/>
      <c r="K233" s="44" t="str">
        <f>IFERROR(__xludf.DUMMYFUNCTION("IFERROR(GOOGLEFINANCE(B233,""price""),"""")"),"")</f>
        <v/>
      </c>
      <c r="L233" s="39">
        <f t="shared" si="12"/>
        <v>0</v>
      </c>
      <c r="M233" s="39">
        <f t="shared" si="13"/>
        <v>0</v>
      </c>
      <c r="N233" s="5">
        <f t="shared" si="14"/>
        <v>0</v>
      </c>
    </row>
    <row r="234" ht="15.75" customHeight="1">
      <c r="E234" s="39"/>
      <c r="F234" s="39">
        <f t="shared" si="11"/>
        <v>0</v>
      </c>
      <c r="G234" s="45"/>
      <c r="H234" s="29"/>
      <c r="I234" s="7"/>
      <c r="J234" s="7"/>
      <c r="K234" s="44" t="str">
        <f>IFERROR(__xludf.DUMMYFUNCTION("IFERROR(GOOGLEFINANCE(B234,""price""),"""")"),"")</f>
        <v/>
      </c>
      <c r="L234" s="39">
        <f t="shared" si="12"/>
        <v>0</v>
      </c>
      <c r="M234" s="39">
        <f t="shared" si="13"/>
        <v>0</v>
      </c>
      <c r="N234" s="5">
        <f t="shared" si="14"/>
        <v>0</v>
      </c>
    </row>
    <row r="235" ht="15.75" customHeight="1">
      <c r="E235" s="39"/>
      <c r="F235" s="39">
        <f t="shared" si="11"/>
        <v>0</v>
      </c>
      <c r="G235" s="45"/>
      <c r="H235" s="29"/>
      <c r="I235" s="7"/>
      <c r="J235" s="7"/>
      <c r="K235" s="44" t="str">
        <f>IFERROR(__xludf.DUMMYFUNCTION("IFERROR(GOOGLEFINANCE(B235,""price""),"""")"),"")</f>
        <v/>
      </c>
      <c r="L235" s="39">
        <f t="shared" si="12"/>
        <v>0</v>
      </c>
      <c r="M235" s="39">
        <f t="shared" si="13"/>
        <v>0</v>
      </c>
      <c r="N235" s="5">
        <f t="shared" si="14"/>
        <v>0</v>
      </c>
    </row>
    <row r="236" ht="15.75" customHeight="1">
      <c r="E236" s="39"/>
      <c r="F236" s="39">
        <f t="shared" si="11"/>
        <v>0</v>
      </c>
      <c r="G236" s="45"/>
      <c r="H236" s="29"/>
      <c r="I236" s="7"/>
      <c r="J236" s="7"/>
      <c r="K236" s="44" t="str">
        <f>IFERROR(__xludf.DUMMYFUNCTION("IFERROR(GOOGLEFINANCE(B236,""price""),"""")"),"")</f>
        <v/>
      </c>
      <c r="L236" s="39">
        <f t="shared" si="12"/>
        <v>0</v>
      </c>
      <c r="M236" s="39">
        <f t="shared" si="13"/>
        <v>0</v>
      </c>
      <c r="N236" s="5">
        <f t="shared" si="14"/>
        <v>0</v>
      </c>
    </row>
    <row r="237" ht="15.75" customHeight="1">
      <c r="E237" s="39"/>
      <c r="F237" s="39">
        <f t="shared" si="11"/>
        <v>0</v>
      </c>
      <c r="G237" s="45"/>
      <c r="H237" s="29"/>
      <c r="I237" s="7"/>
      <c r="J237" s="7"/>
      <c r="K237" s="44" t="str">
        <f>IFERROR(__xludf.DUMMYFUNCTION("IFERROR(GOOGLEFINANCE(B237,""price""),"""")"),"")</f>
        <v/>
      </c>
      <c r="L237" s="39">
        <f t="shared" si="12"/>
        <v>0</v>
      </c>
      <c r="M237" s="39">
        <f t="shared" si="13"/>
        <v>0</v>
      </c>
      <c r="N237" s="5">
        <f t="shared" si="14"/>
        <v>0</v>
      </c>
    </row>
    <row r="238" ht="15.75" customHeight="1">
      <c r="E238" s="39"/>
      <c r="F238" s="39">
        <f t="shared" si="11"/>
        <v>0</v>
      </c>
      <c r="G238" s="45"/>
      <c r="H238" s="29"/>
      <c r="I238" s="7"/>
      <c r="J238" s="7"/>
      <c r="K238" s="44" t="str">
        <f>IFERROR(__xludf.DUMMYFUNCTION("IFERROR(GOOGLEFINANCE(B238,""price""),"""")"),"")</f>
        <v/>
      </c>
      <c r="L238" s="39">
        <f t="shared" si="12"/>
        <v>0</v>
      </c>
      <c r="M238" s="39">
        <f t="shared" si="13"/>
        <v>0</v>
      </c>
      <c r="N238" s="5">
        <f t="shared" si="14"/>
        <v>0</v>
      </c>
    </row>
    <row r="239" ht="15.75" customHeight="1">
      <c r="E239" s="39"/>
      <c r="F239" s="39">
        <f t="shared" si="11"/>
        <v>0</v>
      </c>
      <c r="G239" s="45"/>
      <c r="H239" s="29"/>
      <c r="I239" s="7"/>
      <c r="J239" s="7"/>
      <c r="K239" s="44" t="str">
        <f>IFERROR(__xludf.DUMMYFUNCTION("IFERROR(GOOGLEFINANCE(B239,""price""),"""")"),"")</f>
        <v/>
      </c>
      <c r="L239" s="39">
        <f t="shared" si="12"/>
        <v>0</v>
      </c>
      <c r="M239" s="39">
        <f t="shared" si="13"/>
        <v>0</v>
      </c>
      <c r="N239" s="5">
        <f t="shared" si="14"/>
        <v>0</v>
      </c>
    </row>
    <row r="240" ht="15.75" customHeight="1">
      <c r="E240" s="39"/>
      <c r="F240" s="39">
        <f t="shared" si="11"/>
        <v>0</v>
      </c>
      <c r="G240" s="45"/>
      <c r="H240" s="29"/>
      <c r="I240" s="7"/>
      <c r="J240" s="7"/>
      <c r="K240" s="44" t="str">
        <f>IFERROR(__xludf.DUMMYFUNCTION("IFERROR(GOOGLEFINANCE(B240,""price""),"""")"),"")</f>
        <v/>
      </c>
      <c r="L240" s="39">
        <f t="shared" si="12"/>
        <v>0</v>
      </c>
      <c r="M240" s="39">
        <f t="shared" si="13"/>
        <v>0</v>
      </c>
      <c r="N240" s="5">
        <f t="shared" si="14"/>
        <v>0</v>
      </c>
    </row>
    <row r="241" ht="15.75" customHeight="1">
      <c r="E241" s="39"/>
      <c r="F241" s="39">
        <f t="shared" si="11"/>
        <v>0</v>
      </c>
      <c r="G241" s="45"/>
      <c r="H241" s="29"/>
      <c r="I241" s="7"/>
      <c r="J241" s="7"/>
      <c r="K241" s="44" t="str">
        <f>IFERROR(__xludf.DUMMYFUNCTION("IFERROR(GOOGLEFINANCE(B241,""price""),"""")"),"")</f>
        <v/>
      </c>
      <c r="L241" s="39">
        <f t="shared" si="12"/>
        <v>0</v>
      </c>
      <c r="M241" s="39">
        <f t="shared" si="13"/>
        <v>0</v>
      </c>
      <c r="N241" s="5">
        <f t="shared" si="14"/>
        <v>0</v>
      </c>
    </row>
    <row r="242" ht="15.75" customHeight="1">
      <c r="E242" s="39"/>
      <c r="F242" s="39">
        <f t="shared" si="11"/>
        <v>0</v>
      </c>
      <c r="G242" s="45"/>
      <c r="H242" s="29"/>
      <c r="I242" s="7"/>
      <c r="J242" s="7"/>
      <c r="K242" s="44" t="str">
        <f>IFERROR(__xludf.DUMMYFUNCTION("IFERROR(GOOGLEFINANCE(B242,""price""),"""")"),"")</f>
        <v/>
      </c>
      <c r="L242" s="39">
        <f t="shared" si="12"/>
        <v>0</v>
      </c>
      <c r="M242" s="39">
        <f t="shared" si="13"/>
        <v>0</v>
      </c>
      <c r="N242" s="5">
        <f t="shared" si="14"/>
        <v>0</v>
      </c>
    </row>
    <row r="243" ht="15.75" customHeight="1">
      <c r="E243" s="39"/>
      <c r="F243" s="39">
        <f t="shared" si="11"/>
        <v>0</v>
      </c>
      <c r="G243" s="45"/>
      <c r="H243" s="29"/>
      <c r="I243" s="7"/>
      <c r="J243" s="7"/>
      <c r="K243" s="44" t="str">
        <f>IFERROR(__xludf.DUMMYFUNCTION("IFERROR(GOOGLEFINANCE(B243,""price""),"""")"),"")</f>
        <v/>
      </c>
      <c r="L243" s="39">
        <f t="shared" si="12"/>
        <v>0</v>
      </c>
      <c r="M243" s="39">
        <f t="shared" si="13"/>
        <v>0</v>
      </c>
      <c r="N243" s="5">
        <f t="shared" si="14"/>
        <v>0</v>
      </c>
    </row>
    <row r="244" ht="15.75" customHeight="1">
      <c r="E244" s="39"/>
      <c r="F244" s="39">
        <f t="shared" si="11"/>
        <v>0</v>
      </c>
      <c r="G244" s="45"/>
      <c r="H244" s="29"/>
      <c r="I244" s="7"/>
      <c r="J244" s="7"/>
      <c r="K244" s="44" t="str">
        <f>IFERROR(__xludf.DUMMYFUNCTION("IFERROR(GOOGLEFINANCE(B244,""price""),"""")"),"")</f>
        <v/>
      </c>
      <c r="L244" s="39">
        <f t="shared" si="12"/>
        <v>0</v>
      </c>
      <c r="M244" s="39">
        <f t="shared" si="13"/>
        <v>0</v>
      </c>
      <c r="N244" s="5">
        <f t="shared" si="14"/>
        <v>0</v>
      </c>
    </row>
    <row r="245" ht="15.75" customHeight="1">
      <c r="E245" s="39"/>
      <c r="F245" s="39">
        <f t="shared" si="11"/>
        <v>0</v>
      </c>
      <c r="G245" s="45"/>
      <c r="H245" s="29"/>
      <c r="I245" s="7"/>
      <c r="J245" s="7"/>
      <c r="K245" s="44" t="str">
        <f>IFERROR(__xludf.DUMMYFUNCTION("IFERROR(GOOGLEFINANCE(B245,""price""),"""")"),"")</f>
        <v/>
      </c>
      <c r="L245" s="39">
        <f t="shared" si="12"/>
        <v>0</v>
      </c>
      <c r="M245" s="39">
        <f t="shared" si="13"/>
        <v>0</v>
      </c>
      <c r="N245" s="5">
        <f t="shared" si="14"/>
        <v>0</v>
      </c>
    </row>
    <row r="246" ht="15.75" customHeight="1">
      <c r="E246" s="39"/>
      <c r="F246" s="39">
        <f t="shared" si="11"/>
        <v>0</v>
      </c>
      <c r="G246" s="45"/>
      <c r="H246" s="29"/>
      <c r="I246" s="7"/>
      <c r="J246" s="7"/>
      <c r="K246" s="44" t="str">
        <f>IFERROR(__xludf.DUMMYFUNCTION("IFERROR(GOOGLEFINANCE(B246,""price""),"""")"),"")</f>
        <v/>
      </c>
      <c r="L246" s="39">
        <f t="shared" si="12"/>
        <v>0</v>
      </c>
      <c r="M246" s="39">
        <f t="shared" si="13"/>
        <v>0</v>
      </c>
      <c r="N246" s="5">
        <f t="shared" si="14"/>
        <v>0</v>
      </c>
    </row>
    <row r="247" ht="15.75" customHeight="1">
      <c r="E247" s="39"/>
      <c r="F247" s="39">
        <f t="shared" si="11"/>
        <v>0</v>
      </c>
      <c r="G247" s="45"/>
      <c r="H247" s="29"/>
      <c r="I247" s="7"/>
      <c r="J247" s="7"/>
      <c r="K247" s="44" t="str">
        <f>IFERROR(__xludf.DUMMYFUNCTION("IFERROR(GOOGLEFINANCE(B247,""price""),"""")"),"")</f>
        <v/>
      </c>
      <c r="L247" s="39">
        <f t="shared" si="12"/>
        <v>0</v>
      </c>
      <c r="M247" s="39">
        <f t="shared" si="13"/>
        <v>0</v>
      </c>
      <c r="N247" s="5">
        <f t="shared" si="14"/>
        <v>0</v>
      </c>
    </row>
    <row r="248" ht="15.75" customHeight="1">
      <c r="E248" s="39"/>
      <c r="F248" s="39">
        <f t="shared" si="11"/>
        <v>0</v>
      </c>
      <c r="G248" s="45"/>
      <c r="H248" s="29"/>
      <c r="I248" s="7"/>
      <c r="J248" s="7"/>
      <c r="K248" s="44" t="str">
        <f>IFERROR(__xludf.DUMMYFUNCTION("IFERROR(GOOGLEFINANCE(B248,""price""),"""")"),"")</f>
        <v/>
      </c>
      <c r="L248" s="39">
        <f t="shared" si="12"/>
        <v>0</v>
      </c>
      <c r="M248" s="39">
        <f t="shared" si="13"/>
        <v>0</v>
      </c>
      <c r="N248" s="5">
        <f t="shared" si="14"/>
        <v>0</v>
      </c>
    </row>
    <row r="249" ht="15.75" customHeight="1">
      <c r="E249" s="39"/>
      <c r="F249" s="39">
        <f t="shared" si="11"/>
        <v>0</v>
      </c>
      <c r="G249" s="45"/>
      <c r="H249" s="29"/>
      <c r="I249" s="7"/>
      <c r="J249" s="7"/>
      <c r="K249" s="44" t="str">
        <f>IFERROR(__xludf.DUMMYFUNCTION("IFERROR(GOOGLEFINANCE(B249,""price""),"""")"),"")</f>
        <v/>
      </c>
      <c r="L249" s="39">
        <f t="shared" si="12"/>
        <v>0</v>
      </c>
      <c r="M249" s="39">
        <f t="shared" si="13"/>
        <v>0</v>
      </c>
      <c r="N249" s="5">
        <f t="shared" si="14"/>
        <v>0</v>
      </c>
    </row>
    <row r="250" ht="15.75" customHeight="1">
      <c r="E250" s="39"/>
      <c r="F250" s="39">
        <f t="shared" si="11"/>
        <v>0</v>
      </c>
      <c r="G250" s="45"/>
      <c r="H250" s="29"/>
      <c r="I250" s="7"/>
      <c r="J250" s="7"/>
      <c r="K250" s="44" t="str">
        <f>IFERROR(__xludf.DUMMYFUNCTION("IFERROR(GOOGLEFINANCE(B250,""price""),"""")"),"")</f>
        <v/>
      </c>
      <c r="L250" s="39">
        <f t="shared" si="12"/>
        <v>0</v>
      </c>
      <c r="M250" s="39">
        <f t="shared" si="13"/>
        <v>0</v>
      </c>
      <c r="N250" s="5">
        <f t="shared" si="14"/>
        <v>0</v>
      </c>
    </row>
    <row r="251" ht="15.75" customHeight="1">
      <c r="E251" s="39"/>
      <c r="F251" s="39">
        <f t="shared" si="11"/>
        <v>0</v>
      </c>
      <c r="G251" s="45"/>
      <c r="H251" s="29"/>
      <c r="I251" s="7"/>
      <c r="J251" s="7"/>
      <c r="K251" s="44" t="str">
        <f>IFERROR(__xludf.DUMMYFUNCTION("IFERROR(GOOGLEFINANCE(B251,""price""),"""")"),"")</f>
        <v/>
      </c>
      <c r="L251" s="39">
        <f t="shared" si="12"/>
        <v>0</v>
      </c>
      <c r="M251" s="39">
        <f t="shared" si="13"/>
        <v>0</v>
      </c>
      <c r="N251" s="5">
        <f t="shared" si="14"/>
        <v>0</v>
      </c>
    </row>
    <row r="252" ht="15.75" customHeight="1">
      <c r="E252" s="39"/>
      <c r="F252" s="39">
        <f t="shared" si="11"/>
        <v>0</v>
      </c>
      <c r="G252" s="45"/>
      <c r="H252" s="29"/>
      <c r="I252" s="7"/>
      <c r="J252" s="7"/>
      <c r="K252" s="44" t="str">
        <f>IFERROR(__xludf.DUMMYFUNCTION("IFERROR(GOOGLEFINANCE(B252,""price""),"""")"),"")</f>
        <v/>
      </c>
      <c r="L252" s="39">
        <f t="shared" si="12"/>
        <v>0</v>
      </c>
      <c r="M252" s="39">
        <f t="shared" si="13"/>
        <v>0</v>
      </c>
      <c r="N252" s="5">
        <f t="shared" si="14"/>
        <v>0</v>
      </c>
    </row>
    <row r="253" ht="15.75" customHeight="1">
      <c r="E253" s="39"/>
      <c r="F253" s="39">
        <f t="shared" si="11"/>
        <v>0</v>
      </c>
      <c r="G253" s="45"/>
      <c r="H253" s="29"/>
      <c r="I253" s="7"/>
      <c r="J253" s="7"/>
      <c r="K253" s="44" t="str">
        <f>IFERROR(__xludf.DUMMYFUNCTION("IFERROR(GOOGLEFINANCE(B253,""price""),"""")"),"")</f>
        <v/>
      </c>
      <c r="L253" s="39">
        <f t="shared" si="12"/>
        <v>0</v>
      </c>
      <c r="M253" s="39">
        <f t="shared" si="13"/>
        <v>0</v>
      </c>
      <c r="N253" s="5">
        <f t="shared" si="14"/>
        <v>0</v>
      </c>
    </row>
    <row r="254" ht="15.75" customHeight="1">
      <c r="E254" s="39"/>
      <c r="F254" s="39">
        <f t="shared" si="11"/>
        <v>0</v>
      </c>
      <c r="G254" s="45"/>
      <c r="H254" s="29"/>
      <c r="I254" s="7"/>
      <c r="J254" s="7"/>
      <c r="K254" s="44" t="str">
        <f>IFERROR(__xludf.DUMMYFUNCTION("IFERROR(GOOGLEFINANCE(B254,""price""),"""")"),"")</f>
        <v/>
      </c>
      <c r="L254" s="39">
        <f t="shared" si="12"/>
        <v>0</v>
      </c>
      <c r="M254" s="39">
        <f t="shared" si="13"/>
        <v>0</v>
      </c>
      <c r="N254" s="5">
        <f t="shared" si="14"/>
        <v>0</v>
      </c>
    </row>
    <row r="255" ht="15.75" customHeight="1">
      <c r="E255" s="39"/>
      <c r="F255" s="39">
        <f t="shared" si="11"/>
        <v>0</v>
      </c>
      <c r="G255" s="45"/>
      <c r="H255" s="29"/>
      <c r="I255" s="7"/>
      <c r="J255" s="7"/>
      <c r="K255" s="44" t="str">
        <f>IFERROR(__xludf.DUMMYFUNCTION("IFERROR(GOOGLEFINANCE(B255,""price""),"""")"),"")</f>
        <v/>
      </c>
      <c r="L255" s="39">
        <f t="shared" si="12"/>
        <v>0</v>
      </c>
      <c r="M255" s="39">
        <f t="shared" si="13"/>
        <v>0</v>
      </c>
      <c r="N255" s="5">
        <f t="shared" si="14"/>
        <v>0</v>
      </c>
    </row>
    <row r="256" ht="15.75" customHeight="1">
      <c r="E256" s="39"/>
      <c r="F256" s="39">
        <f t="shared" si="11"/>
        <v>0</v>
      </c>
      <c r="G256" s="45"/>
      <c r="H256" s="29"/>
      <c r="I256" s="7"/>
      <c r="J256" s="7"/>
      <c r="K256" s="44" t="str">
        <f>IFERROR(__xludf.DUMMYFUNCTION("IFERROR(GOOGLEFINANCE(B256,""price""),"""")"),"")</f>
        <v/>
      </c>
      <c r="L256" s="39">
        <f t="shared" si="12"/>
        <v>0</v>
      </c>
      <c r="M256" s="39">
        <f t="shared" si="13"/>
        <v>0</v>
      </c>
      <c r="N256" s="5">
        <f t="shared" si="14"/>
        <v>0</v>
      </c>
    </row>
    <row r="257" ht="15.75" customHeight="1">
      <c r="E257" s="39"/>
      <c r="F257" s="39">
        <f t="shared" si="11"/>
        <v>0</v>
      </c>
      <c r="G257" s="45"/>
      <c r="H257" s="29"/>
      <c r="I257" s="7"/>
      <c r="J257" s="7"/>
      <c r="K257" s="44" t="str">
        <f>IFERROR(__xludf.DUMMYFUNCTION("IFERROR(GOOGLEFINANCE(B257,""price""),"""")"),"")</f>
        <v/>
      </c>
      <c r="L257" s="39">
        <f t="shared" si="12"/>
        <v>0</v>
      </c>
      <c r="M257" s="39">
        <f t="shared" si="13"/>
        <v>0</v>
      </c>
      <c r="N257" s="5">
        <f t="shared" si="14"/>
        <v>0</v>
      </c>
    </row>
    <row r="258" ht="15.75" customHeight="1">
      <c r="E258" s="39"/>
      <c r="F258" s="39">
        <f t="shared" si="11"/>
        <v>0</v>
      </c>
      <c r="G258" s="45"/>
      <c r="H258" s="29"/>
      <c r="I258" s="7"/>
      <c r="J258" s="7"/>
      <c r="K258" s="44" t="str">
        <f>IFERROR(__xludf.DUMMYFUNCTION("IFERROR(GOOGLEFINANCE(B258,""price""),"""")"),"")</f>
        <v/>
      </c>
      <c r="L258" s="39">
        <f t="shared" si="12"/>
        <v>0</v>
      </c>
      <c r="M258" s="39">
        <f t="shared" si="13"/>
        <v>0</v>
      </c>
      <c r="N258" s="5">
        <f t="shared" si="14"/>
        <v>0</v>
      </c>
    </row>
    <row r="259" ht="15.75" customHeight="1">
      <c r="E259" s="39"/>
      <c r="F259" s="39">
        <f t="shared" si="11"/>
        <v>0</v>
      </c>
      <c r="G259" s="45"/>
      <c r="H259" s="29"/>
      <c r="I259" s="7"/>
      <c r="J259" s="7"/>
      <c r="K259" s="44" t="str">
        <f>IFERROR(__xludf.DUMMYFUNCTION("IFERROR(GOOGLEFINANCE(B259,""price""),"""")"),"")</f>
        <v/>
      </c>
      <c r="L259" s="39">
        <f t="shared" si="12"/>
        <v>0</v>
      </c>
      <c r="M259" s="39">
        <f t="shared" si="13"/>
        <v>0</v>
      </c>
      <c r="N259" s="5">
        <f t="shared" si="14"/>
        <v>0</v>
      </c>
    </row>
    <row r="260" ht="15.75" customHeight="1">
      <c r="E260" s="39"/>
      <c r="F260" s="39">
        <f t="shared" si="11"/>
        <v>0</v>
      </c>
      <c r="G260" s="45"/>
      <c r="H260" s="29"/>
      <c r="I260" s="7"/>
      <c r="J260" s="7"/>
      <c r="K260" s="44" t="str">
        <f>IFERROR(__xludf.DUMMYFUNCTION("IFERROR(GOOGLEFINANCE(B260,""price""),"""")"),"")</f>
        <v/>
      </c>
      <c r="L260" s="39">
        <f t="shared" si="12"/>
        <v>0</v>
      </c>
      <c r="M260" s="39">
        <f t="shared" si="13"/>
        <v>0</v>
      </c>
      <c r="N260" s="5">
        <f t="shared" si="14"/>
        <v>0</v>
      </c>
    </row>
    <row r="261" ht="15.75" customHeight="1">
      <c r="E261" s="39"/>
      <c r="F261" s="39">
        <f t="shared" si="11"/>
        <v>0</v>
      </c>
      <c r="G261" s="45"/>
      <c r="H261" s="29"/>
      <c r="I261" s="7"/>
      <c r="J261" s="7"/>
      <c r="K261" s="44" t="str">
        <f>IFERROR(__xludf.DUMMYFUNCTION("IFERROR(GOOGLEFINANCE(B261,""price""),"""")"),"")</f>
        <v/>
      </c>
      <c r="L261" s="39">
        <f t="shared" si="12"/>
        <v>0</v>
      </c>
      <c r="M261" s="39">
        <f t="shared" si="13"/>
        <v>0</v>
      </c>
      <c r="N261" s="5">
        <f t="shared" si="14"/>
        <v>0</v>
      </c>
    </row>
    <row r="262" ht="15.75" customHeight="1">
      <c r="E262" s="39"/>
      <c r="F262" s="39">
        <f t="shared" si="11"/>
        <v>0</v>
      </c>
      <c r="G262" s="45"/>
      <c r="H262" s="29"/>
      <c r="I262" s="7"/>
      <c r="J262" s="7"/>
      <c r="K262" s="44" t="str">
        <f>IFERROR(__xludf.DUMMYFUNCTION("IFERROR(GOOGLEFINANCE(B262,""price""),"""")"),"")</f>
        <v/>
      </c>
      <c r="L262" s="39">
        <f t="shared" si="12"/>
        <v>0</v>
      </c>
      <c r="M262" s="39">
        <f t="shared" si="13"/>
        <v>0</v>
      </c>
      <c r="N262" s="5">
        <f t="shared" si="14"/>
        <v>0</v>
      </c>
    </row>
    <row r="263" ht="15.75" customHeight="1">
      <c r="E263" s="39"/>
      <c r="F263" s="39">
        <f t="shared" si="11"/>
        <v>0</v>
      </c>
      <c r="G263" s="45"/>
      <c r="H263" s="29"/>
      <c r="I263" s="7"/>
      <c r="J263" s="7"/>
      <c r="K263" s="44" t="str">
        <f>IFERROR(__xludf.DUMMYFUNCTION("IFERROR(GOOGLEFINANCE(B263,""price""),"""")"),"")</f>
        <v/>
      </c>
      <c r="L263" s="39">
        <f t="shared" si="12"/>
        <v>0</v>
      </c>
      <c r="M263" s="39">
        <f t="shared" si="13"/>
        <v>0</v>
      </c>
      <c r="N263" s="5">
        <f t="shared" si="14"/>
        <v>0</v>
      </c>
    </row>
    <row r="264" ht="15.75" customHeight="1">
      <c r="E264" s="39"/>
      <c r="F264" s="39">
        <f t="shared" si="11"/>
        <v>0</v>
      </c>
      <c r="G264" s="45"/>
      <c r="H264" s="29"/>
      <c r="I264" s="7"/>
      <c r="J264" s="7"/>
      <c r="K264" s="44" t="str">
        <f>IFERROR(__xludf.DUMMYFUNCTION("IFERROR(GOOGLEFINANCE(B264,""price""),"""")"),"")</f>
        <v/>
      </c>
      <c r="L264" s="39">
        <f t="shared" si="12"/>
        <v>0</v>
      </c>
      <c r="M264" s="39">
        <f t="shared" si="13"/>
        <v>0</v>
      </c>
      <c r="N264" s="5">
        <f t="shared" si="14"/>
        <v>0</v>
      </c>
    </row>
    <row r="265" ht="15.75" customHeight="1">
      <c r="E265" s="39"/>
      <c r="F265" s="39">
        <f t="shared" si="11"/>
        <v>0</v>
      </c>
      <c r="G265" s="45"/>
      <c r="H265" s="29"/>
      <c r="I265" s="7"/>
      <c r="J265" s="7"/>
      <c r="K265" s="44" t="str">
        <f>IFERROR(__xludf.DUMMYFUNCTION("IFERROR(GOOGLEFINANCE(B265,""price""),"""")"),"")</f>
        <v/>
      </c>
      <c r="L265" s="39">
        <f t="shared" si="12"/>
        <v>0</v>
      </c>
      <c r="M265" s="39">
        <f t="shared" si="13"/>
        <v>0</v>
      </c>
      <c r="N265" s="5">
        <f t="shared" si="14"/>
        <v>0</v>
      </c>
    </row>
    <row r="266" ht="15.75" customHeight="1">
      <c r="E266" s="39"/>
      <c r="F266" s="39">
        <f t="shared" si="11"/>
        <v>0</v>
      </c>
      <c r="G266" s="45"/>
      <c r="H266" s="29"/>
      <c r="I266" s="7"/>
      <c r="J266" s="7"/>
      <c r="K266" s="44" t="str">
        <f>IFERROR(__xludf.DUMMYFUNCTION("IFERROR(GOOGLEFINANCE(B266,""price""),"""")"),"")</f>
        <v/>
      </c>
      <c r="L266" s="39">
        <f t="shared" si="12"/>
        <v>0</v>
      </c>
      <c r="M266" s="39">
        <f t="shared" si="13"/>
        <v>0</v>
      </c>
      <c r="N266" s="5">
        <f t="shared" si="14"/>
        <v>0</v>
      </c>
    </row>
    <row r="267" ht="15.75" customHeight="1">
      <c r="E267" s="39"/>
      <c r="F267" s="39">
        <f t="shared" si="11"/>
        <v>0</v>
      </c>
      <c r="G267" s="45"/>
      <c r="H267" s="29"/>
      <c r="I267" s="7"/>
      <c r="J267" s="7"/>
      <c r="K267" s="44" t="str">
        <f>IFERROR(__xludf.DUMMYFUNCTION("IFERROR(GOOGLEFINANCE(B267,""price""),"""")"),"")</f>
        <v/>
      </c>
      <c r="L267" s="39">
        <f t="shared" si="12"/>
        <v>0</v>
      </c>
      <c r="M267" s="39">
        <f t="shared" si="13"/>
        <v>0</v>
      </c>
      <c r="N267" s="5">
        <f t="shared" si="14"/>
        <v>0</v>
      </c>
    </row>
    <row r="268" ht="15.75" customHeight="1">
      <c r="E268" s="39"/>
      <c r="F268" s="39">
        <f t="shared" si="11"/>
        <v>0</v>
      </c>
      <c r="G268" s="45"/>
      <c r="H268" s="29"/>
      <c r="I268" s="7"/>
      <c r="J268" s="7"/>
      <c r="K268" s="44" t="str">
        <f>IFERROR(__xludf.DUMMYFUNCTION("IFERROR(GOOGLEFINANCE(B268,""price""),"""")"),"")</f>
        <v/>
      </c>
      <c r="L268" s="39">
        <f t="shared" si="12"/>
        <v>0</v>
      </c>
      <c r="M268" s="39">
        <f t="shared" si="13"/>
        <v>0</v>
      </c>
      <c r="N268" s="5">
        <f t="shared" si="14"/>
        <v>0</v>
      </c>
    </row>
    <row r="269" ht="15.75" customHeight="1">
      <c r="E269" s="39"/>
      <c r="F269" s="39">
        <f t="shared" si="11"/>
        <v>0</v>
      </c>
      <c r="G269" s="45"/>
      <c r="H269" s="29"/>
      <c r="I269" s="7"/>
      <c r="J269" s="7"/>
      <c r="K269" s="44" t="str">
        <f>IFERROR(__xludf.DUMMYFUNCTION("IFERROR(GOOGLEFINANCE(B269,""price""),"""")"),"")</f>
        <v/>
      </c>
      <c r="L269" s="39">
        <f t="shared" si="12"/>
        <v>0</v>
      </c>
      <c r="M269" s="39">
        <f t="shared" si="13"/>
        <v>0</v>
      </c>
      <c r="N269" s="5">
        <f t="shared" si="14"/>
        <v>0</v>
      </c>
    </row>
    <row r="270" ht="15.75" customHeight="1">
      <c r="E270" s="39"/>
      <c r="F270" s="39">
        <f t="shared" si="11"/>
        <v>0</v>
      </c>
      <c r="G270" s="45"/>
      <c r="H270" s="29"/>
      <c r="I270" s="7"/>
      <c r="J270" s="7"/>
      <c r="K270" s="44" t="str">
        <f>IFERROR(__xludf.DUMMYFUNCTION("IFERROR(GOOGLEFINANCE(B270,""price""),"""")"),"")</f>
        <v/>
      </c>
      <c r="L270" s="39">
        <f t="shared" si="12"/>
        <v>0</v>
      </c>
      <c r="M270" s="39">
        <f t="shared" si="13"/>
        <v>0</v>
      </c>
      <c r="N270" s="5">
        <f t="shared" si="14"/>
        <v>0</v>
      </c>
    </row>
    <row r="271" ht="15.75" customHeight="1">
      <c r="E271" s="39"/>
      <c r="F271" s="39">
        <f t="shared" si="11"/>
        <v>0</v>
      </c>
      <c r="G271" s="45"/>
      <c r="H271" s="29"/>
      <c r="I271" s="7"/>
      <c r="J271" s="7"/>
      <c r="K271" s="44" t="str">
        <f>IFERROR(__xludf.DUMMYFUNCTION("IFERROR(GOOGLEFINANCE(B271,""price""),"""")"),"")</f>
        <v/>
      </c>
      <c r="L271" s="39">
        <f t="shared" si="12"/>
        <v>0</v>
      </c>
      <c r="M271" s="39">
        <f t="shared" si="13"/>
        <v>0</v>
      </c>
      <c r="N271" s="5">
        <f t="shared" si="14"/>
        <v>0</v>
      </c>
    </row>
    <row r="272" ht="15.75" customHeight="1">
      <c r="E272" s="39"/>
      <c r="F272" s="39">
        <f t="shared" si="11"/>
        <v>0</v>
      </c>
      <c r="G272" s="45"/>
      <c r="H272" s="29"/>
      <c r="I272" s="7"/>
      <c r="J272" s="7"/>
      <c r="K272" s="44" t="str">
        <f>IFERROR(__xludf.DUMMYFUNCTION("IFERROR(GOOGLEFINANCE(B272,""price""),"""")"),"")</f>
        <v/>
      </c>
      <c r="L272" s="39">
        <f t="shared" si="12"/>
        <v>0</v>
      </c>
      <c r="M272" s="39">
        <f t="shared" si="13"/>
        <v>0</v>
      </c>
      <c r="N272" s="5">
        <f t="shared" si="14"/>
        <v>0</v>
      </c>
    </row>
    <row r="273" ht="15.75" customHeight="1">
      <c r="E273" s="39"/>
      <c r="F273" s="39">
        <f t="shared" si="11"/>
        <v>0</v>
      </c>
      <c r="G273" s="45"/>
      <c r="H273" s="29"/>
      <c r="I273" s="7"/>
      <c r="J273" s="7"/>
      <c r="K273" s="44" t="str">
        <f>IFERROR(__xludf.DUMMYFUNCTION("IFERROR(GOOGLEFINANCE(B273,""price""),"""")"),"")</f>
        <v/>
      </c>
      <c r="L273" s="39">
        <f t="shared" si="12"/>
        <v>0</v>
      </c>
      <c r="M273" s="39">
        <f t="shared" si="13"/>
        <v>0</v>
      </c>
      <c r="N273" s="5">
        <f t="shared" si="14"/>
        <v>0</v>
      </c>
    </row>
    <row r="274" ht="15.75" customHeight="1">
      <c r="E274" s="39"/>
      <c r="F274" s="39">
        <f t="shared" si="11"/>
        <v>0</v>
      </c>
      <c r="G274" s="45"/>
      <c r="H274" s="29"/>
      <c r="I274" s="7"/>
      <c r="J274" s="7"/>
      <c r="K274" s="44" t="str">
        <f>IFERROR(__xludf.DUMMYFUNCTION("IFERROR(GOOGLEFINANCE(B274,""price""),"""")"),"")</f>
        <v/>
      </c>
      <c r="L274" s="39">
        <f t="shared" si="12"/>
        <v>0</v>
      </c>
      <c r="M274" s="39">
        <f t="shared" si="13"/>
        <v>0</v>
      </c>
      <c r="N274" s="5">
        <f t="shared" si="14"/>
        <v>0</v>
      </c>
    </row>
    <row r="275" ht="15.75" customHeight="1">
      <c r="E275" s="39"/>
      <c r="F275" s="39">
        <f t="shared" si="11"/>
        <v>0</v>
      </c>
      <c r="G275" s="45"/>
      <c r="H275" s="29"/>
      <c r="I275" s="7"/>
      <c r="J275" s="7"/>
      <c r="K275" s="44" t="str">
        <f>IFERROR(__xludf.DUMMYFUNCTION("IFERROR(GOOGLEFINANCE(B275,""price""),"""")"),"")</f>
        <v/>
      </c>
      <c r="L275" s="39">
        <f t="shared" si="12"/>
        <v>0</v>
      </c>
      <c r="M275" s="39">
        <f t="shared" si="13"/>
        <v>0</v>
      </c>
      <c r="N275" s="5">
        <f t="shared" si="14"/>
        <v>0</v>
      </c>
    </row>
    <row r="276" ht="15.75" customHeight="1">
      <c r="E276" s="39"/>
      <c r="F276" s="39">
        <f t="shared" si="11"/>
        <v>0</v>
      </c>
      <c r="G276" s="45"/>
      <c r="H276" s="29"/>
      <c r="I276" s="7"/>
      <c r="J276" s="7"/>
      <c r="K276" s="44" t="str">
        <f>IFERROR(__xludf.DUMMYFUNCTION("IFERROR(GOOGLEFINANCE(B276,""price""),"""")"),"")</f>
        <v/>
      </c>
      <c r="L276" s="39">
        <f t="shared" si="12"/>
        <v>0</v>
      </c>
      <c r="M276" s="39">
        <f t="shared" si="13"/>
        <v>0</v>
      </c>
      <c r="N276" s="5">
        <f t="shared" si="14"/>
        <v>0</v>
      </c>
    </row>
    <row r="277" ht="15.75" customHeight="1">
      <c r="E277" s="39"/>
      <c r="F277" s="39">
        <f t="shared" si="11"/>
        <v>0</v>
      </c>
      <c r="G277" s="45"/>
      <c r="H277" s="29"/>
      <c r="I277" s="7"/>
      <c r="J277" s="7"/>
      <c r="K277" s="44" t="str">
        <f>IFERROR(__xludf.DUMMYFUNCTION("IFERROR(GOOGLEFINANCE(B277,""price""),"""")"),"")</f>
        <v/>
      </c>
      <c r="L277" s="39">
        <f t="shared" si="12"/>
        <v>0</v>
      </c>
      <c r="M277" s="39">
        <f t="shared" si="13"/>
        <v>0</v>
      </c>
      <c r="N277" s="5">
        <f t="shared" si="14"/>
        <v>0</v>
      </c>
    </row>
    <row r="278" ht="15.75" customHeight="1">
      <c r="E278" s="39"/>
      <c r="F278" s="39">
        <f t="shared" si="11"/>
        <v>0</v>
      </c>
      <c r="G278" s="45"/>
      <c r="H278" s="29"/>
      <c r="I278" s="7"/>
      <c r="J278" s="7"/>
      <c r="K278" s="44" t="str">
        <f>IFERROR(__xludf.DUMMYFUNCTION("IFERROR(GOOGLEFINANCE(B278,""price""),"""")"),"")</f>
        <v/>
      </c>
      <c r="L278" s="39">
        <f t="shared" si="12"/>
        <v>0</v>
      </c>
      <c r="M278" s="39">
        <f t="shared" si="13"/>
        <v>0</v>
      </c>
      <c r="N278" s="5">
        <f t="shared" si="14"/>
        <v>0</v>
      </c>
    </row>
    <row r="279" ht="15.75" customHeight="1">
      <c r="E279" s="39"/>
      <c r="F279" s="39">
        <f t="shared" si="11"/>
        <v>0</v>
      </c>
      <c r="G279" s="45"/>
      <c r="H279" s="29"/>
      <c r="I279" s="7"/>
      <c r="J279" s="7"/>
      <c r="K279" s="44" t="str">
        <f>IFERROR(__xludf.DUMMYFUNCTION("IFERROR(GOOGLEFINANCE(B279,""price""),"""")"),"")</f>
        <v/>
      </c>
      <c r="L279" s="39">
        <f t="shared" si="12"/>
        <v>0</v>
      </c>
      <c r="M279" s="39">
        <f t="shared" si="13"/>
        <v>0</v>
      </c>
      <c r="N279" s="5">
        <f t="shared" si="14"/>
        <v>0</v>
      </c>
    </row>
    <row r="280" ht="15.75" customHeight="1">
      <c r="E280" s="39"/>
      <c r="F280" s="39">
        <f t="shared" si="11"/>
        <v>0</v>
      </c>
      <c r="G280" s="45"/>
      <c r="H280" s="29"/>
      <c r="I280" s="7"/>
      <c r="J280" s="7"/>
      <c r="K280" s="44" t="str">
        <f>IFERROR(__xludf.DUMMYFUNCTION("IFERROR(GOOGLEFINANCE(B280,""price""),"""")"),"")</f>
        <v/>
      </c>
      <c r="L280" s="39">
        <f t="shared" si="12"/>
        <v>0</v>
      </c>
      <c r="M280" s="39">
        <f t="shared" si="13"/>
        <v>0</v>
      </c>
      <c r="N280" s="5">
        <f t="shared" si="14"/>
        <v>0</v>
      </c>
    </row>
    <row r="281" ht="15.75" customHeight="1">
      <c r="E281" s="39"/>
      <c r="F281" s="39">
        <f t="shared" si="11"/>
        <v>0</v>
      </c>
      <c r="G281" s="45"/>
      <c r="H281" s="29"/>
      <c r="I281" s="7"/>
      <c r="J281" s="7"/>
      <c r="K281" s="44" t="str">
        <f>IFERROR(__xludf.DUMMYFUNCTION("IFERROR(GOOGLEFINANCE(B281,""price""),"""")"),"")</f>
        <v/>
      </c>
      <c r="L281" s="39">
        <f t="shared" si="12"/>
        <v>0</v>
      </c>
      <c r="M281" s="39">
        <f t="shared" si="13"/>
        <v>0</v>
      </c>
      <c r="N281" s="5">
        <f t="shared" si="14"/>
        <v>0</v>
      </c>
    </row>
    <row r="282" ht="15.75" customHeight="1">
      <c r="E282" s="39"/>
      <c r="F282" s="39">
        <f t="shared" si="11"/>
        <v>0</v>
      </c>
      <c r="G282" s="45"/>
      <c r="H282" s="29"/>
      <c r="I282" s="7"/>
      <c r="J282" s="7"/>
      <c r="K282" s="44" t="str">
        <f>IFERROR(__xludf.DUMMYFUNCTION("IFERROR(GOOGLEFINANCE(B282,""price""),"""")"),"")</f>
        <v/>
      </c>
      <c r="L282" s="39">
        <f t="shared" si="12"/>
        <v>0</v>
      </c>
      <c r="M282" s="39">
        <f t="shared" si="13"/>
        <v>0</v>
      </c>
      <c r="N282" s="5">
        <f t="shared" si="14"/>
        <v>0</v>
      </c>
    </row>
    <row r="283" ht="15.75" customHeight="1">
      <c r="E283" s="39"/>
      <c r="F283" s="39">
        <f t="shared" si="11"/>
        <v>0</v>
      </c>
      <c r="G283" s="45"/>
      <c r="H283" s="29"/>
      <c r="I283" s="7"/>
      <c r="J283" s="7"/>
      <c r="K283" s="44" t="str">
        <f>IFERROR(__xludf.DUMMYFUNCTION("IFERROR(GOOGLEFINANCE(B283,""price""),"""")"),"")</f>
        <v/>
      </c>
      <c r="L283" s="39">
        <f t="shared" si="12"/>
        <v>0</v>
      </c>
      <c r="M283" s="39">
        <f t="shared" si="13"/>
        <v>0</v>
      </c>
      <c r="N283" s="5">
        <f t="shared" si="14"/>
        <v>0</v>
      </c>
    </row>
    <row r="284" ht="15.75" customHeight="1">
      <c r="E284" s="39"/>
      <c r="F284" s="39">
        <f t="shared" si="11"/>
        <v>0</v>
      </c>
      <c r="G284" s="45"/>
      <c r="H284" s="29"/>
      <c r="I284" s="7"/>
      <c r="J284" s="7"/>
      <c r="K284" s="44" t="str">
        <f>IFERROR(__xludf.DUMMYFUNCTION("IFERROR(GOOGLEFINANCE(B284,""price""),"""")"),"")</f>
        <v/>
      </c>
      <c r="L284" s="39">
        <f t="shared" si="12"/>
        <v>0</v>
      </c>
      <c r="M284" s="39">
        <f t="shared" si="13"/>
        <v>0</v>
      </c>
      <c r="N284" s="5">
        <f t="shared" si="14"/>
        <v>0</v>
      </c>
    </row>
    <row r="285" ht="15.75" customHeight="1">
      <c r="E285" s="39"/>
      <c r="F285" s="39">
        <f t="shared" si="11"/>
        <v>0</v>
      </c>
      <c r="G285" s="45"/>
      <c r="H285" s="29"/>
      <c r="I285" s="7"/>
      <c r="J285" s="7"/>
      <c r="K285" s="44" t="str">
        <f>IFERROR(__xludf.DUMMYFUNCTION("IFERROR(GOOGLEFINANCE(B285,""price""),"""")"),"")</f>
        <v/>
      </c>
      <c r="L285" s="39">
        <f t="shared" si="12"/>
        <v>0</v>
      </c>
      <c r="M285" s="39">
        <f t="shared" si="13"/>
        <v>0</v>
      </c>
      <c r="N285" s="5">
        <f t="shared" si="14"/>
        <v>0</v>
      </c>
    </row>
    <row r="286" ht="15.75" customHeight="1">
      <c r="E286" s="39"/>
      <c r="F286" s="39">
        <f t="shared" si="11"/>
        <v>0</v>
      </c>
      <c r="G286" s="45"/>
      <c r="H286" s="29"/>
      <c r="I286" s="7"/>
      <c r="J286" s="7"/>
      <c r="K286" s="44" t="str">
        <f>IFERROR(__xludf.DUMMYFUNCTION("IFERROR(GOOGLEFINANCE(B286,""price""),"""")"),"")</f>
        <v/>
      </c>
      <c r="L286" s="39">
        <f t="shared" si="12"/>
        <v>0</v>
      </c>
      <c r="M286" s="39">
        <f t="shared" si="13"/>
        <v>0</v>
      </c>
      <c r="N286" s="5">
        <f t="shared" si="14"/>
        <v>0</v>
      </c>
    </row>
    <row r="287" ht="15.75" customHeight="1">
      <c r="E287" s="39"/>
      <c r="F287" s="39">
        <f t="shared" si="11"/>
        <v>0</v>
      </c>
      <c r="G287" s="45"/>
      <c r="H287" s="29"/>
      <c r="I287" s="7"/>
      <c r="J287" s="7"/>
      <c r="K287" s="44" t="str">
        <f>IFERROR(__xludf.DUMMYFUNCTION("IFERROR(GOOGLEFINANCE(B287,""price""),"""")"),"")</f>
        <v/>
      </c>
      <c r="L287" s="39">
        <f t="shared" si="12"/>
        <v>0</v>
      </c>
      <c r="M287" s="39">
        <f t="shared" si="13"/>
        <v>0</v>
      </c>
      <c r="N287" s="5">
        <f t="shared" si="14"/>
        <v>0</v>
      </c>
    </row>
    <row r="288" ht="15.75" customHeight="1">
      <c r="E288" s="39"/>
      <c r="F288" s="39">
        <f t="shared" si="11"/>
        <v>0</v>
      </c>
      <c r="G288" s="45"/>
      <c r="H288" s="29"/>
      <c r="I288" s="7"/>
      <c r="J288" s="7"/>
      <c r="K288" s="44" t="str">
        <f>IFERROR(__xludf.DUMMYFUNCTION("IFERROR(GOOGLEFINANCE(B288,""price""),"""")"),"")</f>
        <v/>
      </c>
      <c r="L288" s="39">
        <f t="shared" si="12"/>
        <v>0</v>
      </c>
      <c r="M288" s="39">
        <f t="shared" si="13"/>
        <v>0</v>
      </c>
      <c r="N288" s="5">
        <f t="shared" si="14"/>
        <v>0</v>
      </c>
    </row>
    <row r="289" ht="15.75" customHeight="1">
      <c r="E289" s="39"/>
      <c r="F289" s="39">
        <f t="shared" si="11"/>
        <v>0</v>
      </c>
      <c r="G289" s="45"/>
      <c r="H289" s="29"/>
      <c r="I289" s="7"/>
      <c r="J289" s="7"/>
      <c r="K289" s="44" t="str">
        <f>IFERROR(__xludf.DUMMYFUNCTION("IFERROR(GOOGLEFINANCE(B289,""price""),"""")"),"")</f>
        <v/>
      </c>
      <c r="L289" s="39">
        <f t="shared" si="12"/>
        <v>0</v>
      </c>
      <c r="M289" s="39">
        <f t="shared" si="13"/>
        <v>0</v>
      </c>
      <c r="N289" s="5">
        <f t="shared" si="14"/>
        <v>0</v>
      </c>
    </row>
    <row r="290" ht="15.75" customHeight="1">
      <c r="E290" s="39"/>
      <c r="F290" s="39">
        <f t="shared" si="11"/>
        <v>0</v>
      </c>
      <c r="G290" s="45"/>
      <c r="H290" s="29"/>
      <c r="I290" s="7"/>
      <c r="J290" s="7"/>
      <c r="K290" s="44" t="str">
        <f>IFERROR(__xludf.DUMMYFUNCTION("IFERROR(GOOGLEFINANCE(B290,""price""),"""")"),"")</f>
        <v/>
      </c>
      <c r="L290" s="39">
        <f t="shared" si="12"/>
        <v>0</v>
      </c>
      <c r="M290" s="39">
        <f t="shared" si="13"/>
        <v>0</v>
      </c>
      <c r="N290" s="5">
        <f t="shared" si="14"/>
        <v>0</v>
      </c>
    </row>
    <row r="291" ht="15.75" customHeight="1">
      <c r="E291" s="39"/>
      <c r="F291" s="39">
        <f t="shared" si="11"/>
        <v>0</v>
      </c>
      <c r="G291" s="45"/>
      <c r="H291" s="29"/>
      <c r="I291" s="7"/>
      <c r="J291" s="7"/>
      <c r="K291" s="44" t="str">
        <f>IFERROR(__xludf.DUMMYFUNCTION("IFERROR(GOOGLEFINANCE(B291,""price""),"""")"),"")</f>
        <v/>
      </c>
      <c r="L291" s="39">
        <f t="shared" si="12"/>
        <v>0</v>
      </c>
      <c r="M291" s="39">
        <f t="shared" si="13"/>
        <v>0</v>
      </c>
      <c r="N291" s="5">
        <f t="shared" si="14"/>
        <v>0</v>
      </c>
    </row>
    <row r="292" ht="15.75" customHeight="1">
      <c r="E292" s="39"/>
      <c r="F292" s="39">
        <f t="shared" si="11"/>
        <v>0</v>
      </c>
      <c r="G292" s="45"/>
      <c r="H292" s="29"/>
      <c r="I292" s="7"/>
      <c r="J292" s="7"/>
      <c r="K292" s="44" t="str">
        <f>IFERROR(__xludf.DUMMYFUNCTION("IFERROR(GOOGLEFINANCE(B292,""price""),"""")"),"")</f>
        <v/>
      </c>
      <c r="L292" s="39">
        <f t="shared" si="12"/>
        <v>0</v>
      </c>
      <c r="M292" s="39">
        <f t="shared" si="13"/>
        <v>0</v>
      </c>
      <c r="N292" s="5">
        <f t="shared" si="14"/>
        <v>0</v>
      </c>
    </row>
    <row r="293" ht="15.75" customHeight="1">
      <c r="E293" s="39"/>
      <c r="F293" s="39">
        <f t="shared" si="11"/>
        <v>0</v>
      </c>
      <c r="G293" s="45"/>
      <c r="H293" s="29"/>
      <c r="I293" s="7"/>
      <c r="J293" s="7"/>
      <c r="K293" s="44" t="str">
        <f>IFERROR(__xludf.DUMMYFUNCTION("IFERROR(GOOGLEFINANCE(B293,""price""),"""")"),"")</f>
        <v/>
      </c>
      <c r="L293" s="39">
        <f t="shared" si="12"/>
        <v>0</v>
      </c>
      <c r="M293" s="39">
        <f t="shared" si="13"/>
        <v>0</v>
      </c>
      <c r="N293" s="5">
        <f t="shared" si="14"/>
        <v>0</v>
      </c>
    </row>
    <row r="294" ht="15.75" customHeight="1">
      <c r="E294" s="39"/>
      <c r="F294" s="39">
        <f t="shared" si="11"/>
        <v>0</v>
      </c>
      <c r="G294" s="45"/>
      <c r="H294" s="29"/>
      <c r="I294" s="7"/>
      <c r="J294" s="7"/>
      <c r="K294" s="44" t="str">
        <f>IFERROR(__xludf.DUMMYFUNCTION("IFERROR(GOOGLEFINANCE(B294,""price""),"""")"),"")</f>
        <v/>
      </c>
      <c r="L294" s="39">
        <f t="shared" si="12"/>
        <v>0</v>
      </c>
      <c r="M294" s="39">
        <f t="shared" si="13"/>
        <v>0</v>
      </c>
      <c r="N294" s="5">
        <f t="shared" si="14"/>
        <v>0</v>
      </c>
    </row>
    <row r="295" ht="15.75" customHeight="1">
      <c r="E295" s="39"/>
      <c r="F295" s="39">
        <f t="shared" si="11"/>
        <v>0</v>
      </c>
      <c r="G295" s="45"/>
      <c r="H295" s="29"/>
      <c r="I295" s="7"/>
      <c r="J295" s="7"/>
      <c r="K295" s="44" t="str">
        <f>IFERROR(__xludf.DUMMYFUNCTION("IFERROR(GOOGLEFINANCE(B295,""price""),"""")"),"")</f>
        <v/>
      </c>
      <c r="L295" s="39">
        <f t="shared" si="12"/>
        <v>0</v>
      </c>
      <c r="M295" s="39">
        <f t="shared" si="13"/>
        <v>0</v>
      </c>
      <c r="N295" s="5">
        <f t="shared" si="14"/>
        <v>0</v>
      </c>
    </row>
    <row r="296" ht="15.75" customHeight="1">
      <c r="E296" s="39"/>
      <c r="F296" s="39">
        <f t="shared" si="11"/>
        <v>0</v>
      </c>
      <c r="G296" s="45"/>
      <c r="H296" s="29"/>
      <c r="I296" s="7"/>
      <c r="J296" s="7"/>
      <c r="K296" s="44" t="str">
        <f>IFERROR(__xludf.DUMMYFUNCTION("IFERROR(GOOGLEFINANCE(B296,""price""),"""")"),"")</f>
        <v/>
      </c>
      <c r="L296" s="39">
        <f t="shared" si="12"/>
        <v>0</v>
      </c>
      <c r="M296" s="39">
        <f t="shared" si="13"/>
        <v>0</v>
      </c>
      <c r="N296" s="5">
        <f t="shared" si="14"/>
        <v>0</v>
      </c>
    </row>
    <row r="297" ht="15.75" customHeight="1">
      <c r="E297" s="39"/>
      <c r="F297" s="39">
        <f t="shared" si="11"/>
        <v>0</v>
      </c>
      <c r="G297" s="45"/>
      <c r="H297" s="29"/>
      <c r="I297" s="7"/>
      <c r="J297" s="7"/>
      <c r="K297" s="44" t="str">
        <f>IFERROR(__xludf.DUMMYFUNCTION("IFERROR(GOOGLEFINANCE(B297,""price""),"""")"),"")</f>
        <v/>
      </c>
      <c r="L297" s="39">
        <f t="shared" si="12"/>
        <v>0</v>
      </c>
      <c r="M297" s="39">
        <f t="shared" si="13"/>
        <v>0</v>
      </c>
      <c r="N297" s="5">
        <f t="shared" si="14"/>
        <v>0</v>
      </c>
    </row>
    <row r="298" ht="15.75" customHeight="1">
      <c r="E298" s="39"/>
      <c r="F298" s="39">
        <f t="shared" si="11"/>
        <v>0</v>
      </c>
      <c r="G298" s="45"/>
      <c r="H298" s="29"/>
      <c r="I298" s="7"/>
      <c r="J298" s="7"/>
      <c r="K298" s="44" t="str">
        <f>IFERROR(__xludf.DUMMYFUNCTION("IFERROR(GOOGLEFINANCE(B298,""price""),"""")"),"")</f>
        <v/>
      </c>
      <c r="L298" s="39">
        <f t="shared" si="12"/>
        <v>0</v>
      </c>
      <c r="M298" s="39">
        <f t="shared" si="13"/>
        <v>0</v>
      </c>
      <c r="N298" s="5">
        <f t="shared" si="14"/>
        <v>0</v>
      </c>
    </row>
    <row r="299" ht="15.75" customHeight="1">
      <c r="E299" s="39"/>
      <c r="F299" s="39">
        <f t="shared" si="11"/>
        <v>0</v>
      </c>
      <c r="G299" s="45"/>
      <c r="H299" s="29"/>
      <c r="I299" s="7"/>
      <c r="J299" s="7"/>
      <c r="K299" s="44" t="str">
        <f>IFERROR(__xludf.DUMMYFUNCTION("IFERROR(GOOGLEFINANCE(B299,""price""),"""")"),"")</f>
        <v/>
      </c>
      <c r="L299" s="39">
        <f t="shared" si="12"/>
        <v>0</v>
      </c>
      <c r="M299" s="39">
        <f t="shared" si="13"/>
        <v>0</v>
      </c>
      <c r="N299" s="5">
        <f t="shared" si="14"/>
        <v>0</v>
      </c>
    </row>
    <row r="300" ht="15.75" customHeight="1">
      <c r="E300" s="39"/>
      <c r="F300" s="39">
        <f t="shared" si="11"/>
        <v>0</v>
      </c>
      <c r="G300" s="45"/>
      <c r="H300" s="29"/>
      <c r="I300" s="7"/>
      <c r="J300" s="7"/>
      <c r="K300" s="44" t="str">
        <f>IFERROR(__xludf.DUMMYFUNCTION("IFERROR(GOOGLEFINANCE(B300,""price""),"""")"),"")</f>
        <v/>
      </c>
      <c r="L300" s="39">
        <f t="shared" si="12"/>
        <v>0</v>
      </c>
      <c r="M300" s="39">
        <f t="shared" si="13"/>
        <v>0</v>
      </c>
      <c r="N300" s="5">
        <f t="shared" si="14"/>
        <v>0</v>
      </c>
    </row>
    <row r="301" ht="15.75" customHeight="1">
      <c r="E301" s="39"/>
      <c r="F301" s="39">
        <f t="shared" si="11"/>
        <v>0</v>
      </c>
      <c r="G301" s="45"/>
      <c r="H301" s="29"/>
      <c r="I301" s="7"/>
      <c r="J301" s="7"/>
      <c r="K301" s="44" t="str">
        <f>IFERROR(__xludf.DUMMYFUNCTION("IFERROR(GOOGLEFINANCE(B301,""price""),"""")"),"")</f>
        <v/>
      </c>
      <c r="L301" s="39">
        <f t="shared" si="12"/>
        <v>0</v>
      </c>
      <c r="M301" s="39">
        <f t="shared" si="13"/>
        <v>0</v>
      </c>
      <c r="N301" s="5">
        <f t="shared" si="14"/>
        <v>0</v>
      </c>
    </row>
    <row r="302" ht="15.75" customHeight="1">
      <c r="E302" s="39"/>
      <c r="F302" s="39">
        <f t="shared" si="11"/>
        <v>0</v>
      </c>
      <c r="G302" s="45"/>
      <c r="H302" s="29"/>
      <c r="I302" s="7"/>
      <c r="J302" s="7"/>
      <c r="K302" s="44" t="str">
        <f>IFERROR(__xludf.DUMMYFUNCTION("IFERROR(GOOGLEFINANCE(B302,""price""),"""")"),"")</f>
        <v/>
      </c>
      <c r="L302" s="39">
        <f t="shared" si="12"/>
        <v>0</v>
      </c>
      <c r="M302" s="39">
        <f t="shared" si="13"/>
        <v>0</v>
      </c>
      <c r="N302" s="5">
        <f t="shared" si="14"/>
        <v>0</v>
      </c>
    </row>
    <row r="303" ht="15.75" customHeight="1">
      <c r="E303" s="39"/>
      <c r="F303" s="39">
        <f t="shared" si="11"/>
        <v>0</v>
      </c>
      <c r="G303" s="45"/>
      <c r="H303" s="29"/>
      <c r="I303" s="7"/>
      <c r="J303" s="7"/>
      <c r="K303" s="44" t="str">
        <f>IFERROR(__xludf.DUMMYFUNCTION("IFERROR(GOOGLEFINANCE(B303,""price""),"""")"),"")</f>
        <v/>
      </c>
      <c r="L303" s="39">
        <f t="shared" si="12"/>
        <v>0</v>
      </c>
      <c r="M303" s="39">
        <f t="shared" si="13"/>
        <v>0</v>
      </c>
      <c r="N303" s="5">
        <f t="shared" si="14"/>
        <v>0</v>
      </c>
    </row>
    <row r="304" ht="15.75" customHeight="1">
      <c r="E304" s="39"/>
      <c r="F304" s="39">
        <f t="shared" si="11"/>
        <v>0</v>
      </c>
      <c r="G304" s="45"/>
      <c r="H304" s="29"/>
      <c r="I304" s="7"/>
      <c r="J304" s="7"/>
      <c r="K304" s="44" t="str">
        <f>IFERROR(__xludf.DUMMYFUNCTION("IFERROR(GOOGLEFINANCE(B304,""price""),"""")"),"")</f>
        <v/>
      </c>
      <c r="L304" s="39">
        <f t="shared" si="12"/>
        <v>0</v>
      </c>
      <c r="M304" s="39">
        <f t="shared" si="13"/>
        <v>0</v>
      </c>
      <c r="N304" s="5">
        <f t="shared" si="14"/>
        <v>0</v>
      </c>
    </row>
    <row r="305" ht="15.75" customHeight="1">
      <c r="E305" s="39"/>
      <c r="F305" s="39">
        <f t="shared" si="11"/>
        <v>0</v>
      </c>
      <c r="G305" s="45"/>
      <c r="H305" s="29"/>
      <c r="I305" s="7"/>
      <c r="J305" s="7"/>
      <c r="K305" s="44" t="str">
        <f>IFERROR(__xludf.DUMMYFUNCTION("IFERROR(GOOGLEFINANCE(B305,""price""),"""")"),"")</f>
        <v/>
      </c>
      <c r="L305" s="39">
        <f t="shared" si="12"/>
        <v>0</v>
      </c>
      <c r="M305" s="39">
        <f t="shared" si="13"/>
        <v>0</v>
      </c>
      <c r="N305" s="5">
        <f t="shared" si="14"/>
        <v>0</v>
      </c>
    </row>
    <row r="306" ht="15.75" customHeight="1">
      <c r="E306" s="39"/>
      <c r="F306" s="39">
        <f t="shared" si="11"/>
        <v>0</v>
      </c>
      <c r="G306" s="45"/>
      <c r="H306" s="29"/>
      <c r="I306" s="7"/>
      <c r="J306" s="7"/>
      <c r="K306" s="44" t="str">
        <f>IFERROR(__xludf.DUMMYFUNCTION("IFERROR(GOOGLEFINANCE(B306,""price""),"""")"),"")</f>
        <v/>
      </c>
      <c r="L306" s="39">
        <f t="shared" si="12"/>
        <v>0</v>
      </c>
      <c r="M306" s="39">
        <f t="shared" si="13"/>
        <v>0</v>
      </c>
      <c r="N306" s="5">
        <f t="shared" si="14"/>
        <v>0</v>
      </c>
    </row>
    <row r="307" ht="15.75" customHeight="1">
      <c r="E307" s="39"/>
      <c r="F307" s="39">
        <f t="shared" si="11"/>
        <v>0</v>
      </c>
      <c r="G307" s="45"/>
      <c r="H307" s="29"/>
      <c r="I307" s="7"/>
      <c r="J307" s="7"/>
      <c r="K307" s="44" t="str">
        <f>IFERROR(__xludf.DUMMYFUNCTION("IFERROR(GOOGLEFINANCE(B307,""price""),"""")"),"")</f>
        <v/>
      </c>
      <c r="L307" s="39">
        <f t="shared" si="12"/>
        <v>0</v>
      </c>
      <c r="M307" s="39">
        <f t="shared" si="13"/>
        <v>0</v>
      </c>
      <c r="N307" s="5">
        <f t="shared" si="14"/>
        <v>0</v>
      </c>
    </row>
    <row r="308" ht="15.75" customHeight="1">
      <c r="E308" s="39"/>
      <c r="F308" s="39">
        <f t="shared" si="11"/>
        <v>0</v>
      </c>
      <c r="G308" s="45"/>
      <c r="H308" s="29"/>
      <c r="I308" s="7"/>
      <c r="J308" s="7"/>
      <c r="K308" s="44" t="str">
        <f>IFERROR(__xludf.DUMMYFUNCTION("IFERROR(GOOGLEFINANCE(B308,""price""),"""")"),"")</f>
        <v/>
      </c>
      <c r="L308" s="39">
        <f t="shared" si="12"/>
        <v>0</v>
      </c>
      <c r="M308" s="39">
        <f t="shared" si="13"/>
        <v>0</v>
      </c>
      <c r="N308" s="5">
        <f t="shared" si="14"/>
        <v>0</v>
      </c>
    </row>
    <row r="309" ht="15.75" customHeight="1">
      <c r="E309" s="39"/>
      <c r="F309" s="39">
        <f t="shared" si="11"/>
        <v>0</v>
      </c>
      <c r="G309" s="45"/>
      <c r="H309" s="29"/>
      <c r="I309" s="7"/>
      <c r="J309" s="7"/>
      <c r="K309" s="44" t="str">
        <f>IFERROR(__xludf.DUMMYFUNCTION("IFERROR(GOOGLEFINANCE(B309,""price""),"""")"),"")</f>
        <v/>
      </c>
      <c r="L309" s="39">
        <f t="shared" si="12"/>
        <v>0</v>
      </c>
      <c r="M309" s="39">
        <f t="shared" si="13"/>
        <v>0</v>
      </c>
      <c r="N309" s="5">
        <f t="shared" si="14"/>
        <v>0</v>
      </c>
    </row>
    <row r="310" ht="15.75" customHeight="1">
      <c r="E310" s="39"/>
      <c r="F310" s="39">
        <f t="shared" si="11"/>
        <v>0</v>
      </c>
      <c r="G310" s="45"/>
      <c r="H310" s="29"/>
      <c r="I310" s="7"/>
      <c r="J310" s="7"/>
      <c r="K310" s="44" t="str">
        <f>IFERROR(__xludf.DUMMYFUNCTION("IFERROR(GOOGLEFINANCE(B310,""price""),"""")"),"")</f>
        <v/>
      </c>
      <c r="L310" s="39">
        <f t="shared" si="12"/>
        <v>0</v>
      </c>
      <c r="M310" s="39">
        <f t="shared" si="13"/>
        <v>0</v>
      </c>
      <c r="N310" s="5">
        <f t="shared" si="14"/>
        <v>0</v>
      </c>
    </row>
    <row r="311" ht="15.75" customHeight="1">
      <c r="E311" s="39"/>
      <c r="F311" s="39">
        <f t="shared" si="11"/>
        <v>0</v>
      </c>
      <c r="G311" s="45"/>
      <c r="H311" s="29"/>
      <c r="I311" s="7"/>
      <c r="J311" s="7"/>
      <c r="K311" s="44" t="str">
        <f>IFERROR(__xludf.DUMMYFUNCTION("IFERROR(GOOGLEFINANCE(B311,""price""),"""")"),"")</f>
        <v/>
      </c>
      <c r="L311" s="39">
        <f t="shared" si="12"/>
        <v>0</v>
      </c>
      <c r="M311" s="39">
        <f t="shared" si="13"/>
        <v>0</v>
      </c>
      <c r="N311" s="5">
        <f t="shared" si="14"/>
        <v>0</v>
      </c>
    </row>
    <row r="312" ht="15.75" customHeight="1">
      <c r="E312" s="39"/>
      <c r="F312" s="39">
        <f t="shared" si="11"/>
        <v>0</v>
      </c>
      <c r="G312" s="45"/>
      <c r="H312" s="29"/>
      <c r="I312" s="7"/>
      <c r="J312" s="7"/>
      <c r="K312" s="44" t="str">
        <f>IFERROR(__xludf.DUMMYFUNCTION("IFERROR(GOOGLEFINANCE(B312,""price""),"""")"),"")</f>
        <v/>
      </c>
      <c r="L312" s="39">
        <f t="shared" si="12"/>
        <v>0</v>
      </c>
      <c r="M312" s="39">
        <f t="shared" si="13"/>
        <v>0</v>
      </c>
      <c r="N312" s="5">
        <f t="shared" si="14"/>
        <v>0</v>
      </c>
    </row>
    <row r="313" ht="15.75" customHeight="1">
      <c r="E313" s="39"/>
      <c r="F313" s="39">
        <f t="shared" si="11"/>
        <v>0</v>
      </c>
      <c r="G313" s="45"/>
      <c r="H313" s="29"/>
      <c r="I313" s="7"/>
      <c r="J313" s="7"/>
      <c r="K313" s="44" t="str">
        <f>IFERROR(__xludf.DUMMYFUNCTION("IFERROR(GOOGLEFINANCE(B313,""price""),"""")"),"")</f>
        <v/>
      </c>
      <c r="L313" s="39">
        <f t="shared" si="12"/>
        <v>0</v>
      </c>
      <c r="M313" s="39">
        <f t="shared" si="13"/>
        <v>0</v>
      </c>
      <c r="N313" s="5">
        <f t="shared" si="14"/>
        <v>0</v>
      </c>
    </row>
    <row r="314" ht="15.75" customHeight="1">
      <c r="E314" s="39"/>
      <c r="F314" s="39">
        <f t="shared" si="11"/>
        <v>0</v>
      </c>
      <c r="G314" s="45"/>
      <c r="H314" s="29"/>
      <c r="I314" s="7"/>
      <c r="J314" s="7"/>
      <c r="K314" s="44" t="str">
        <f>IFERROR(__xludf.DUMMYFUNCTION("IFERROR(GOOGLEFINANCE(B314,""price""),"""")"),"")</f>
        <v/>
      </c>
      <c r="L314" s="39">
        <f t="shared" si="12"/>
        <v>0</v>
      </c>
      <c r="M314" s="39">
        <f t="shared" si="13"/>
        <v>0</v>
      </c>
      <c r="N314" s="5">
        <f t="shared" si="14"/>
        <v>0</v>
      </c>
    </row>
    <row r="315" ht="15.75" customHeight="1">
      <c r="E315" s="39"/>
      <c r="F315" s="39">
        <f t="shared" si="11"/>
        <v>0</v>
      </c>
      <c r="G315" s="45"/>
      <c r="H315" s="29"/>
      <c r="I315" s="7"/>
      <c r="J315" s="7"/>
      <c r="K315" s="44" t="str">
        <f>IFERROR(__xludf.DUMMYFUNCTION("IFERROR(GOOGLEFINANCE(B315,""price""),"""")"),"")</f>
        <v/>
      </c>
      <c r="L315" s="39">
        <f t="shared" si="12"/>
        <v>0</v>
      </c>
      <c r="M315" s="39">
        <f t="shared" si="13"/>
        <v>0</v>
      </c>
      <c r="N315" s="5">
        <f t="shared" si="14"/>
        <v>0</v>
      </c>
    </row>
    <row r="316" ht="15.75" customHeight="1">
      <c r="E316" s="39"/>
      <c r="F316" s="39">
        <f t="shared" si="11"/>
        <v>0</v>
      </c>
      <c r="G316" s="45"/>
      <c r="H316" s="29"/>
      <c r="I316" s="7"/>
      <c r="J316" s="7"/>
      <c r="K316" s="44" t="str">
        <f>IFERROR(__xludf.DUMMYFUNCTION("IFERROR(GOOGLEFINANCE(B316,""price""),"""")"),"")</f>
        <v/>
      </c>
      <c r="L316" s="39">
        <f t="shared" si="12"/>
        <v>0</v>
      </c>
      <c r="M316" s="39">
        <f t="shared" si="13"/>
        <v>0</v>
      </c>
      <c r="N316" s="5">
        <f t="shared" si="14"/>
        <v>0</v>
      </c>
    </row>
    <row r="317" ht="15.75" customHeight="1">
      <c r="E317" s="39"/>
      <c r="F317" s="39">
        <f t="shared" si="11"/>
        <v>0</v>
      </c>
      <c r="G317" s="45"/>
      <c r="H317" s="29"/>
      <c r="I317" s="7"/>
      <c r="J317" s="7"/>
      <c r="K317" s="44" t="str">
        <f>IFERROR(__xludf.DUMMYFUNCTION("IFERROR(GOOGLEFINANCE(B317,""price""),"""")"),"")</f>
        <v/>
      </c>
      <c r="L317" s="39">
        <f t="shared" si="12"/>
        <v>0</v>
      </c>
      <c r="M317" s="39">
        <f t="shared" si="13"/>
        <v>0</v>
      </c>
      <c r="N317" s="5">
        <f t="shared" si="14"/>
        <v>0</v>
      </c>
    </row>
    <row r="318" ht="15.75" customHeight="1">
      <c r="E318" s="39"/>
      <c r="F318" s="39">
        <f t="shared" si="11"/>
        <v>0</v>
      </c>
      <c r="G318" s="45"/>
      <c r="H318" s="29"/>
      <c r="I318" s="7"/>
      <c r="J318" s="7"/>
      <c r="K318" s="44" t="str">
        <f>IFERROR(__xludf.DUMMYFUNCTION("IFERROR(GOOGLEFINANCE(B318,""price""),"""")"),"")</f>
        <v/>
      </c>
      <c r="L318" s="39">
        <f t="shared" si="12"/>
        <v>0</v>
      </c>
      <c r="M318" s="39">
        <f t="shared" si="13"/>
        <v>0</v>
      </c>
      <c r="N318" s="5">
        <f t="shared" si="14"/>
        <v>0</v>
      </c>
    </row>
    <row r="319" ht="15.75" customHeight="1">
      <c r="E319" s="39"/>
      <c r="F319" s="39">
        <f t="shared" si="11"/>
        <v>0</v>
      </c>
      <c r="G319" s="45"/>
      <c r="H319" s="29"/>
      <c r="I319" s="7"/>
      <c r="J319" s="7"/>
      <c r="K319" s="44" t="str">
        <f>IFERROR(__xludf.DUMMYFUNCTION("IFERROR(GOOGLEFINANCE(B319,""price""),"""")"),"")</f>
        <v/>
      </c>
      <c r="L319" s="39">
        <f t="shared" si="12"/>
        <v>0</v>
      </c>
      <c r="M319" s="39">
        <f t="shared" si="13"/>
        <v>0</v>
      </c>
      <c r="N319" s="5">
        <f t="shared" si="14"/>
        <v>0</v>
      </c>
    </row>
    <row r="320" ht="15.75" customHeight="1">
      <c r="E320" s="39"/>
      <c r="F320" s="39">
        <f t="shared" si="11"/>
        <v>0</v>
      </c>
      <c r="G320" s="45"/>
      <c r="H320" s="29"/>
      <c r="I320" s="7"/>
      <c r="J320" s="7"/>
      <c r="K320" s="44" t="str">
        <f>IFERROR(__xludf.DUMMYFUNCTION("IFERROR(GOOGLEFINANCE(B320,""price""),"""")"),"")</f>
        <v/>
      </c>
      <c r="L320" s="39">
        <f t="shared" si="12"/>
        <v>0</v>
      </c>
      <c r="M320" s="39">
        <f t="shared" si="13"/>
        <v>0</v>
      </c>
      <c r="N320" s="5">
        <f t="shared" si="14"/>
        <v>0</v>
      </c>
    </row>
    <row r="321" ht="15.75" customHeight="1">
      <c r="E321" s="39"/>
      <c r="F321" s="39">
        <f t="shared" si="11"/>
        <v>0</v>
      </c>
      <c r="G321" s="45"/>
      <c r="H321" s="29"/>
      <c r="I321" s="7"/>
      <c r="J321" s="7"/>
      <c r="K321" s="44" t="str">
        <f>IFERROR(__xludf.DUMMYFUNCTION("IFERROR(GOOGLEFINANCE(B321,""price""),"""")"),"")</f>
        <v/>
      </c>
      <c r="L321" s="39">
        <f t="shared" si="12"/>
        <v>0</v>
      </c>
      <c r="M321" s="39">
        <f t="shared" si="13"/>
        <v>0</v>
      </c>
      <c r="N321" s="5">
        <f t="shared" si="14"/>
        <v>0</v>
      </c>
    </row>
    <row r="322" ht="15.75" customHeight="1">
      <c r="E322" s="39"/>
      <c r="F322" s="45"/>
      <c r="G322" s="44" t="str">
        <f>IFERROR(__xludf.DUMMYFUNCTION("IFERROR(GOOGLEFINANCE(B322,""price""),"""")"),"")</f>
        <v/>
      </c>
      <c r="H322" s="17"/>
      <c r="I322" s="45"/>
      <c r="J322" s="45"/>
      <c r="K322" s="39">
        <f t="shared" ref="K322:K998" si="15">D322*G322</f>
        <v>0</v>
      </c>
      <c r="L322" s="39">
        <f t="shared" ref="L322:L998" si="16">K322-H322</f>
        <v>0</v>
      </c>
      <c r="M322" s="5">
        <f t="shared" ref="M322:M998" si="17">IF(H322&gt;0,L322/H322,0)</f>
        <v>0</v>
      </c>
    </row>
    <row r="323" ht="15.75" customHeight="1">
      <c r="E323" s="39"/>
      <c r="F323" s="45"/>
      <c r="G323" s="44" t="str">
        <f>IFERROR(__xludf.DUMMYFUNCTION("IFERROR(GOOGLEFINANCE(B323,""price""),"""")"),"")</f>
        <v/>
      </c>
      <c r="H323" s="17"/>
      <c r="I323" s="45"/>
      <c r="J323" s="45"/>
      <c r="K323" s="39">
        <f t="shared" si="15"/>
        <v>0</v>
      </c>
      <c r="L323" s="39">
        <f t="shared" si="16"/>
        <v>0</v>
      </c>
      <c r="M323" s="5">
        <f t="shared" si="17"/>
        <v>0</v>
      </c>
    </row>
    <row r="324" ht="15.75" customHeight="1">
      <c r="E324" s="39"/>
      <c r="F324" s="45"/>
      <c r="G324" s="44" t="str">
        <f>IFERROR(__xludf.DUMMYFUNCTION("IFERROR(GOOGLEFINANCE(B324,""price""),"""")"),"")</f>
        <v/>
      </c>
      <c r="H324" s="17"/>
      <c r="I324" s="45"/>
      <c r="J324" s="45"/>
      <c r="K324" s="39">
        <f t="shared" si="15"/>
        <v>0</v>
      </c>
      <c r="L324" s="39">
        <f t="shared" si="16"/>
        <v>0</v>
      </c>
      <c r="M324" s="5">
        <f t="shared" si="17"/>
        <v>0</v>
      </c>
    </row>
    <row r="325" ht="15.75" customHeight="1">
      <c r="E325" s="39"/>
      <c r="F325" s="45"/>
      <c r="G325" s="44" t="str">
        <f>IFERROR(__xludf.DUMMYFUNCTION("IFERROR(GOOGLEFINANCE(B325,""price""),"""")"),"")</f>
        <v/>
      </c>
      <c r="H325" s="17"/>
      <c r="I325" s="45"/>
      <c r="J325" s="45"/>
      <c r="K325" s="39">
        <f t="shared" si="15"/>
        <v>0</v>
      </c>
      <c r="L325" s="39">
        <f t="shared" si="16"/>
        <v>0</v>
      </c>
      <c r="M325" s="5">
        <f t="shared" si="17"/>
        <v>0</v>
      </c>
    </row>
    <row r="326" ht="15.75" customHeight="1">
      <c r="E326" s="39"/>
      <c r="F326" s="45"/>
      <c r="G326" s="44" t="str">
        <f>IFERROR(__xludf.DUMMYFUNCTION("IFERROR(GOOGLEFINANCE(B326,""price""),"""")"),"")</f>
        <v/>
      </c>
      <c r="H326" s="17"/>
      <c r="I326" s="45"/>
      <c r="J326" s="45"/>
      <c r="K326" s="39">
        <f t="shared" si="15"/>
        <v>0</v>
      </c>
      <c r="L326" s="39">
        <f t="shared" si="16"/>
        <v>0</v>
      </c>
      <c r="M326" s="5">
        <f t="shared" si="17"/>
        <v>0</v>
      </c>
    </row>
    <row r="327" ht="15.75" customHeight="1">
      <c r="E327" s="39"/>
      <c r="F327" s="45"/>
      <c r="G327" s="44" t="str">
        <f>IFERROR(__xludf.DUMMYFUNCTION("IFERROR(GOOGLEFINANCE(B327,""price""),"""")"),"")</f>
        <v/>
      </c>
      <c r="H327" s="17"/>
      <c r="I327" s="45"/>
      <c r="J327" s="45"/>
      <c r="K327" s="39">
        <f t="shared" si="15"/>
        <v>0</v>
      </c>
      <c r="L327" s="39">
        <f t="shared" si="16"/>
        <v>0</v>
      </c>
      <c r="M327" s="5">
        <f t="shared" si="17"/>
        <v>0</v>
      </c>
    </row>
    <row r="328" ht="15.75" customHeight="1">
      <c r="E328" s="39"/>
      <c r="F328" s="45"/>
      <c r="G328" s="44" t="str">
        <f>IFERROR(__xludf.DUMMYFUNCTION("IFERROR(GOOGLEFINANCE(B328,""price""),"""")"),"")</f>
        <v/>
      </c>
      <c r="H328" s="17"/>
      <c r="I328" s="45"/>
      <c r="J328" s="45"/>
      <c r="K328" s="39">
        <f t="shared" si="15"/>
        <v>0</v>
      </c>
      <c r="L328" s="39">
        <f t="shared" si="16"/>
        <v>0</v>
      </c>
      <c r="M328" s="5">
        <f t="shared" si="17"/>
        <v>0</v>
      </c>
    </row>
    <row r="329" ht="15.75" customHeight="1">
      <c r="E329" s="39"/>
      <c r="F329" s="45"/>
      <c r="G329" s="44" t="str">
        <f>IFERROR(__xludf.DUMMYFUNCTION("IFERROR(GOOGLEFINANCE(B329,""price""),"""")"),"")</f>
        <v/>
      </c>
      <c r="H329" s="17"/>
      <c r="I329" s="45"/>
      <c r="J329" s="45"/>
      <c r="K329" s="39">
        <f t="shared" si="15"/>
        <v>0</v>
      </c>
      <c r="L329" s="39">
        <f t="shared" si="16"/>
        <v>0</v>
      </c>
      <c r="M329" s="5">
        <f t="shared" si="17"/>
        <v>0</v>
      </c>
    </row>
    <row r="330" ht="15.75" customHeight="1">
      <c r="E330" s="39"/>
      <c r="F330" s="45"/>
      <c r="G330" s="44" t="str">
        <f>IFERROR(__xludf.DUMMYFUNCTION("IFERROR(GOOGLEFINANCE(B330,""price""),"""")"),"")</f>
        <v/>
      </c>
      <c r="H330" s="17"/>
      <c r="I330" s="45"/>
      <c r="J330" s="45"/>
      <c r="K330" s="39">
        <f t="shared" si="15"/>
        <v>0</v>
      </c>
      <c r="L330" s="39">
        <f t="shared" si="16"/>
        <v>0</v>
      </c>
      <c r="M330" s="5">
        <f t="shared" si="17"/>
        <v>0</v>
      </c>
    </row>
    <row r="331" ht="15.75" customHeight="1">
      <c r="E331" s="39"/>
      <c r="F331" s="45"/>
      <c r="G331" s="44" t="str">
        <f>IFERROR(__xludf.DUMMYFUNCTION("IFERROR(GOOGLEFINANCE(B331,""price""),"""")"),"")</f>
        <v/>
      </c>
      <c r="H331" s="17"/>
      <c r="I331" s="45"/>
      <c r="J331" s="45"/>
      <c r="K331" s="39">
        <f t="shared" si="15"/>
        <v>0</v>
      </c>
      <c r="L331" s="39">
        <f t="shared" si="16"/>
        <v>0</v>
      </c>
      <c r="M331" s="5">
        <f t="shared" si="17"/>
        <v>0</v>
      </c>
    </row>
    <row r="332" ht="15.75" customHeight="1">
      <c r="E332" s="39"/>
      <c r="F332" s="45"/>
      <c r="G332" s="44" t="str">
        <f>IFERROR(__xludf.DUMMYFUNCTION("IFERROR(GOOGLEFINANCE(B332,""price""),"""")"),"")</f>
        <v/>
      </c>
      <c r="H332" s="17"/>
      <c r="I332" s="45"/>
      <c r="J332" s="45"/>
      <c r="K332" s="39">
        <f t="shared" si="15"/>
        <v>0</v>
      </c>
      <c r="L332" s="39">
        <f t="shared" si="16"/>
        <v>0</v>
      </c>
      <c r="M332" s="5">
        <f t="shared" si="17"/>
        <v>0</v>
      </c>
    </row>
    <row r="333" ht="15.75" customHeight="1">
      <c r="E333" s="39"/>
      <c r="F333" s="45"/>
      <c r="G333" s="44" t="str">
        <f>IFERROR(__xludf.DUMMYFUNCTION("IFERROR(GOOGLEFINANCE(B333,""price""),"""")"),"")</f>
        <v/>
      </c>
      <c r="H333" s="17"/>
      <c r="I333" s="45"/>
      <c r="J333" s="45"/>
      <c r="K333" s="39">
        <f t="shared" si="15"/>
        <v>0</v>
      </c>
      <c r="L333" s="39">
        <f t="shared" si="16"/>
        <v>0</v>
      </c>
      <c r="M333" s="5">
        <f t="shared" si="17"/>
        <v>0</v>
      </c>
    </row>
    <row r="334" ht="15.75" customHeight="1">
      <c r="E334" s="39"/>
      <c r="F334" s="45"/>
      <c r="G334" s="44" t="str">
        <f>IFERROR(__xludf.DUMMYFUNCTION("IFERROR(GOOGLEFINANCE(B334,""price""),"""")"),"")</f>
        <v/>
      </c>
      <c r="H334" s="17"/>
      <c r="I334" s="45"/>
      <c r="J334" s="45"/>
      <c r="K334" s="39">
        <f t="shared" si="15"/>
        <v>0</v>
      </c>
      <c r="L334" s="39">
        <f t="shared" si="16"/>
        <v>0</v>
      </c>
      <c r="M334" s="5">
        <f t="shared" si="17"/>
        <v>0</v>
      </c>
    </row>
    <row r="335" ht="15.75" customHeight="1">
      <c r="E335" s="39"/>
      <c r="F335" s="45"/>
      <c r="G335" s="44" t="str">
        <f>IFERROR(__xludf.DUMMYFUNCTION("IFERROR(GOOGLEFINANCE(B335,""price""),"""")"),"")</f>
        <v/>
      </c>
      <c r="H335" s="17"/>
      <c r="I335" s="45"/>
      <c r="J335" s="45"/>
      <c r="K335" s="39">
        <f t="shared" si="15"/>
        <v>0</v>
      </c>
      <c r="L335" s="39">
        <f t="shared" si="16"/>
        <v>0</v>
      </c>
      <c r="M335" s="5">
        <f t="shared" si="17"/>
        <v>0</v>
      </c>
    </row>
    <row r="336" ht="15.75" customHeight="1">
      <c r="E336" s="39"/>
      <c r="F336" s="45"/>
      <c r="G336" s="44" t="str">
        <f>IFERROR(__xludf.DUMMYFUNCTION("IFERROR(GOOGLEFINANCE(B336,""price""),"""")"),"")</f>
        <v/>
      </c>
      <c r="H336" s="17"/>
      <c r="I336" s="45"/>
      <c r="J336" s="45"/>
      <c r="K336" s="39">
        <f t="shared" si="15"/>
        <v>0</v>
      </c>
      <c r="L336" s="39">
        <f t="shared" si="16"/>
        <v>0</v>
      </c>
      <c r="M336" s="5">
        <f t="shared" si="17"/>
        <v>0</v>
      </c>
    </row>
    <row r="337" ht="15.75" customHeight="1">
      <c r="E337" s="39"/>
      <c r="F337" s="45"/>
      <c r="G337" s="44" t="str">
        <f>IFERROR(__xludf.DUMMYFUNCTION("IFERROR(GOOGLEFINANCE(B337,""price""),"""")"),"")</f>
        <v/>
      </c>
      <c r="H337" s="17"/>
      <c r="I337" s="45"/>
      <c r="J337" s="45"/>
      <c r="K337" s="39">
        <f t="shared" si="15"/>
        <v>0</v>
      </c>
      <c r="L337" s="39">
        <f t="shared" si="16"/>
        <v>0</v>
      </c>
      <c r="M337" s="5">
        <f t="shared" si="17"/>
        <v>0</v>
      </c>
    </row>
    <row r="338" ht="15.75" customHeight="1">
      <c r="E338" s="39"/>
      <c r="F338" s="45"/>
      <c r="G338" s="44" t="str">
        <f>IFERROR(__xludf.DUMMYFUNCTION("IFERROR(GOOGLEFINANCE(B338,""price""),"""")"),"")</f>
        <v/>
      </c>
      <c r="H338" s="17"/>
      <c r="I338" s="45"/>
      <c r="J338" s="45"/>
      <c r="K338" s="39">
        <f t="shared" si="15"/>
        <v>0</v>
      </c>
      <c r="L338" s="39">
        <f t="shared" si="16"/>
        <v>0</v>
      </c>
      <c r="M338" s="5">
        <f t="shared" si="17"/>
        <v>0</v>
      </c>
    </row>
    <row r="339" ht="15.75" customHeight="1">
      <c r="E339" s="39"/>
      <c r="F339" s="45"/>
      <c r="G339" s="44" t="str">
        <f>IFERROR(__xludf.DUMMYFUNCTION("IFERROR(GOOGLEFINANCE(B339,""price""),"""")"),"")</f>
        <v/>
      </c>
      <c r="H339" s="17"/>
      <c r="I339" s="45"/>
      <c r="J339" s="45"/>
      <c r="K339" s="39">
        <f t="shared" si="15"/>
        <v>0</v>
      </c>
      <c r="L339" s="39">
        <f t="shared" si="16"/>
        <v>0</v>
      </c>
      <c r="M339" s="5">
        <f t="shared" si="17"/>
        <v>0</v>
      </c>
    </row>
    <row r="340" ht="15.75" customHeight="1">
      <c r="E340" s="39"/>
      <c r="F340" s="45"/>
      <c r="G340" s="44" t="str">
        <f>IFERROR(__xludf.DUMMYFUNCTION("IFERROR(GOOGLEFINANCE(B340,""price""),"""")"),"")</f>
        <v/>
      </c>
      <c r="H340" s="17"/>
      <c r="I340" s="45"/>
      <c r="J340" s="45"/>
      <c r="K340" s="39">
        <f t="shared" si="15"/>
        <v>0</v>
      </c>
      <c r="L340" s="39">
        <f t="shared" si="16"/>
        <v>0</v>
      </c>
      <c r="M340" s="5">
        <f t="shared" si="17"/>
        <v>0</v>
      </c>
    </row>
    <row r="341" ht="15.75" customHeight="1">
      <c r="E341" s="39"/>
      <c r="F341" s="45"/>
      <c r="G341" s="44" t="str">
        <f>IFERROR(__xludf.DUMMYFUNCTION("IFERROR(GOOGLEFINANCE(B341,""price""),"""")"),"")</f>
        <v/>
      </c>
      <c r="H341" s="17"/>
      <c r="I341" s="45"/>
      <c r="J341" s="45"/>
      <c r="K341" s="39">
        <f t="shared" si="15"/>
        <v>0</v>
      </c>
      <c r="L341" s="39">
        <f t="shared" si="16"/>
        <v>0</v>
      </c>
      <c r="M341" s="5">
        <f t="shared" si="17"/>
        <v>0</v>
      </c>
    </row>
    <row r="342" ht="15.75" customHeight="1">
      <c r="E342" s="39"/>
      <c r="F342" s="45"/>
      <c r="G342" s="44" t="str">
        <f>IFERROR(__xludf.DUMMYFUNCTION("IFERROR(GOOGLEFINANCE(B342,""price""),"""")"),"")</f>
        <v/>
      </c>
      <c r="H342" s="17"/>
      <c r="I342" s="45"/>
      <c r="J342" s="45"/>
      <c r="K342" s="39">
        <f t="shared" si="15"/>
        <v>0</v>
      </c>
      <c r="L342" s="39">
        <f t="shared" si="16"/>
        <v>0</v>
      </c>
      <c r="M342" s="5">
        <f t="shared" si="17"/>
        <v>0</v>
      </c>
    </row>
    <row r="343" ht="15.75" customHeight="1">
      <c r="E343" s="39"/>
      <c r="F343" s="45"/>
      <c r="G343" s="44" t="str">
        <f>IFERROR(__xludf.DUMMYFUNCTION("IFERROR(GOOGLEFINANCE(B343,""price""),"""")"),"")</f>
        <v/>
      </c>
      <c r="H343" s="17"/>
      <c r="I343" s="45"/>
      <c r="J343" s="45"/>
      <c r="K343" s="39">
        <f t="shared" si="15"/>
        <v>0</v>
      </c>
      <c r="L343" s="39">
        <f t="shared" si="16"/>
        <v>0</v>
      </c>
      <c r="M343" s="5">
        <f t="shared" si="17"/>
        <v>0</v>
      </c>
    </row>
    <row r="344" ht="15.75" customHeight="1">
      <c r="E344" s="39"/>
      <c r="F344" s="45"/>
      <c r="G344" s="44" t="str">
        <f>IFERROR(__xludf.DUMMYFUNCTION("IFERROR(GOOGLEFINANCE(B344,""price""),"""")"),"")</f>
        <v/>
      </c>
      <c r="H344" s="17"/>
      <c r="I344" s="45"/>
      <c r="J344" s="45"/>
      <c r="K344" s="39">
        <f t="shared" si="15"/>
        <v>0</v>
      </c>
      <c r="L344" s="39">
        <f t="shared" si="16"/>
        <v>0</v>
      </c>
      <c r="M344" s="5">
        <f t="shared" si="17"/>
        <v>0</v>
      </c>
    </row>
    <row r="345" ht="15.75" customHeight="1">
      <c r="E345" s="39"/>
      <c r="F345" s="45"/>
      <c r="G345" s="44" t="str">
        <f>IFERROR(__xludf.DUMMYFUNCTION("IFERROR(GOOGLEFINANCE(B345,""price""),"""")"),"")</f>
        <v/>
      </c>
      <c r="H345" s="17"/>
      <c r="I345" s="45"/>
      <c r="J345" s="45"/>
      <c r="K345" s="39">
        <f t="shared" si="15"/>
        <v>0</v>
      </c>
      <c r="L345" s="39">
        <f t="shared" si="16"/>
        <v>0</v>
      </c>
      <c r="M345" s="5">
        <f t="shared" si="17"/>
        <v>0</v>
      </c>
    </row>
    <row r="346" ht="15.75" customHeight="1">
      <c r="E346" s="39"/>
      <c r="F346" s="45"/>
      <c r="G346" s="44" t="str">
        <f>IFERROR(__xludf.DUMMYFUNCTION("IFERROR(GOOGLEFINANCE(B346,""price""),"""")"),"")</f>
        <v/>
      </c>
      <c r="H346" s="17"/>
      <c r="I346" s="45"/>
      <c r="J346" s="45"/>
      <c r="K346" s="39">
        <f t="shared" si="15"/>
        <v>0</v>
      </c>
      <c r="L346" s="39">
        <f t="shared" si="16"/>
        <v>0</v>
      </c>
      <c r="M346" s="5">
        <f t="shared" si="17"/>
        <v>0</v>
      </c>
    </row>
    <row r="347" ht="15.75" customHeight="1">
      <c r="E347" s="39"/>
      <c r="F347" s="45"/>
      <c r="G347" s="44" t="str">
        <f>IFERROR(__xludf.DUMMYFUNCTION("IFERROR(GOOGLEFINANCE(B347,""price""),"""")"),"")</f>
        <v/>
      </c>
      <c r="H347" s="17"/>
      <c r="I347" s="45"/>
      <c r="J347" s="45"/>
      <c r="K347" s="39">
        <f t="shared" si="15"/>
        <v>0</v>
      </c>
      <c r="L347" s="39">
        <f t="shared" si="16"/>
        <v>0</v>
      </c>
      <c r="M347" s="5">
        <f t="shared" si="17"/>
        <v>0</v>
      </c>
    </row>
    <row r="348" ht="15.75" customHeight="1">
      <c r="E348" s="39"/>
      <c r="F348" s="45"/>
      <c r="G348" s="44" t="str">
        <f>IFERROR(__xludf.DUMMYFUNCTION("IFERROR(GOOGLEFINANCE(B348,""price""),"""")"),"")</f>
        <v/>
      </c>
      <c r="H348" s="17"/>
      <c r="I348" s="45"/>
      <c r="J348" s="45"/>
      <c r="K348" s="39">
        <f t="shared" si="15"/>
        <v>0</v>
      </c>
      <c r="L348" s="39">
        <f t="shared" si="16"/>
        <v>0</v>
      </c>
      <c r="M348" s="5">
        <f t="shared" si="17"/>
        <v>0</v>
      </c>
    </row>
    <row r="349" ht="15.75" customHeight="1">
      <c r="E349" s="39"/>
      <c r="F349" s="45"/>
      <c r="G349" s="44" t="str">
        <f>IFERROR(__xludf.DUMMYFUNCTION("IFERROR(GOOGLEFINANCE(B349,""price""),"""")"),"")</f>
        <v/>
      </c>
      <c r="H349" s="17"/>
      <c r="I349" s="45"/>
      <c r="J349" s="45"/>
      <c r="K349" s="39">
        <f t="shared" si="15"/>
        <v>0</v>
      </c>
      <c r="L349" s="39">
        <f t="shared" si="16"/>
        <v>0</v>
      </c>
      <c r="M349" s="5">
        <f t="shared" si="17"/>
        <v>0</v>
      </c>
    </row>
    <row r="350" ht="15.75" customHeight="1">
      <c r="E350" s="39"/>
      <c r="F350" s="45"/>
      <c r="G350" s="44" t="str">
        <f>IFERROR(__xludf.DUMMYFUNCTION("IFERROR(GOOGLEFINANCE(B350,""price""),"""")"),"")</f>
        <v/>
      </c>
      <c r="H350" s="17"/>
      <c r="I350" s="45"/>
      <c r="J350" s="45"/>
      <c r="K350" s="39">
        <f t="shared" si="15"/>
        <v>0</v>
      </c>
      <c r="L350" s="39">
        <f t="shared" si="16"/>
        <v>0</v>
      </c>
      <c r="M350" s="5">
        <f t="shared" si="17"/>
        <v>0</v>
      </c>
    </row>
    <row r="351" ht="15.75" customHeight="1">
      <c r="E351" s="39"/>
      <c r="F351" s="45"/>
      <c r="G351" s="44" t="str">
        <f>IFERROR(__xludf.DUMMYFUNCTION("IFERROR(GOOGLEFINANCE(B351,""price""),"""")"),"")</f>
        <v/>
      </c>
      <c r="H351" s="17"/>
      <c r="I351" s="45"/>
      <c r="J351" s="45"/>
      <c r="K351" s="39">
        <f t="shared" si="15"/>
        <v>0</v>
      </c>
      <c r="L351" s="39">
        <f t="shared" si="16"/>
        <v>0</v>
      </c>
      <c r="M351" s="5">
        <f t="shared" si="17"/>
        <v>0</v>
      </c>
    </row>
    <row r="352" ht="15.75" customHeight="1">
      <c r="E352" s="39"/>
      <c r="F352" s="45"/>
      <c r="G352" s="44" t="str">
        <f>IFERROR(__xludf.DUMMYFUNCTION("IFERROR(GOOGLEFINANCE(B352,""price""),"""")"),"")</f>
        <v/>
      </c>
      <c r="H352" s="17"/>
      <c r="I352" s="45"/>
      <c r="J352" s="45"/>
      <c r="K352" s="39">
        <f t="shared" si="15"/>
        <v>0</v>
      </c>
      <c r="L352" s="39">
        <f t="shared" si="16"/>
        <v>0</v>
      </c>
      <c r="M352" s="5">
        <f t="shared" si="17"/>
        <v>0</v>
      </c>
    </row>
    <row r="353" ht="15.75" customHeight="1">
      <c r="E353" s="39"/>
      <c r="F353" s="45"/>
      <c r="G353" s="44" t="str">
        <f>IFERROR(__xludf.DUMMYFUNCTION("IFERROR(GOOGLEFINANCE(B353,""price""),"""")"),"")</f>
        <v/>
      </c>
      <c r="H353" s="17"/>
      <c r="I353" s="45"/>
      <c r="J353" s="45"/>
      <c r="K353" s="39">
        <f t="shared" si="15"/>
        <v>0</v>
      </c>
      <c r="L353" s="39">
        <f t="shared" si="16"/>
        <v>0</v>
      </c>
      <c r="M353" s="5">
        <f t="shared" si="17"/>
        <v>0</v>
      </c>
    </row>
    <row r="354" ht="15.75" customHeight="1">
      <c r="E354" s="39"/>
      <c r="F354" s="45"/>
      <c r="G354" s="44" t="str">
        <f>IFERROR(__xludf.DUMMYFUNCTION("IFERROR(GOOGLEFINANCE(B354,""price""),"""")"),"")</f>
        <v/>
      </c>
      <c r="H354" s="17"/>
      <c r="I354" s="45"/>
      <c r="J354" s="45"/>
      <c r="K354" s="39">
        <f t="shared" si="15"/>
        <v>0</v>
      </c>
      <c r="L354" s="39">
        <f t="shared" si="16"/>
        <v>0</v>
      </c>
      <c r="M354" s="5">
        <f t="shared" si="17"/>
        <v>0</v>
      </c>
    </row>
    <row r="355" ht="15.75" customHeight="1">
      <c r="E355" s="39"/>
      <c r="F355" s="45"/>
      <c r="G355" s="44" t="str">
        <f>IFERROR(__xludf.DUMMYFUNCTION("IFERROR(GOOGLEFINANCE(B355,""price""),"""")"),"")</f>
        <v/>
      </c>
      <c r="H355" s="17"/>
      <c r="I355" s="45"/>
      <c r="J355" s="45"/>
      <c r="K355" s="39">
        <f t="shared" si="15"/>
        <v>0</v>
      </c>
      <c r="L355" s="39">
        <f t="shared" si="16"/>
        <v>0</v>
      </c>
      <c r="M355" s="5">
        <f t="shared" si="17"/>
        <v>0</v>
      </c>
    </row>
    <row r="356" ht="15.75" customHeight="1">
      <c r="E356" s="39"/>
      <c r="F356" s="45"/>
      <c r="G356" s="44" t="str">
        <f>IFERROR(__xludf.DUMMYFUNCTION("IFERROR(GOOGLEFINANCE(B356,""price""),"""")"),"")</f>
        <v/>
      </c>
      <c r="H356" s="17"/>
      <c r="I356" s="45"/>
      <c r="J356" s="45"/>
      <c r="K356" s="39">
        <f t="shared" si="15"/>
        <v>0</v>
      </c>
      <c r="L356" s="39">
        <f t="shared" si="16"/>
        <v>0</v>
      </c>
      <c r="M356" s="5">
        <f t="shared" si="17"/>
        <v>0</v>
      </c>
    </row>
    <row r="357" ht="15.75" customHeight="1">
      <c r="E357" s="39"/>
      <c r="F357" s="45"/>
      <c r="G357" s="44" t="str">
        <f>IFERROR(__xludf.DUMMYFUNCTION("IFERROR(GOOGLEFINANCE(B357,""price""),"""")"),"")</f>
        <v/>
      </c>
      <c r="H357" s="17"/>
      <c r="I357" s="45"/>
      <c r="J357" s="45"/>
      <c r="K357" s="39">
        <f t="shared" si="15"/>
        <v>0</v>
      </c>
      <c r="L357" s="39">
        <f t="shared" si="16"/>
        <v>0</v>
      </c>
      <c r="M357" s="5">
        <f t="shared" si="17"/>
        <v>0</v>
      </c>
    </row>
    <row r="358" ht="15.75" customHeight="1">
      <c r="E358" s="39"/>
      <c r="F358" s="45"/>
      <c r="G358" s="44" t="str">
        <f>IFERROR(__xludf.DUMMYFUNCTION("IFERROR(GOOGLEFINANCE(B358,""price""),"""")"),"")</f>
        <v/>
      </c>
      <c r="H358" s="17"/>
      <c r="I358" s="45"/>
      <c r="J358" s="45"/>
      <c r="K358" s="39">
        <f t="shared" si="15"/>
        <v>0</v>
      </c>
      <c r="L358" s="39">
        <f t="shared" si="16"/>
        <v>0</v>
      </c>
      <c r="M358" s="5">
        <f t="shared" si="17"/>
        <v>0</v>
      </c>
    </row>
    <row r="359" ht="15.75" customHeight="1">
      <c r="E359" s="39"/>
      <c r="F359" s="45"/>
      <c r="G359" s="44" t="str">
        <f>IFERROR(__xludf.DUMMYFUNCTION("IFERROR(GOOGLEFINANCE(B359,""price""),"""")"),"")</f>
        <v/>
      </c>
      <c r="H359" s="17"/>
      <c r="I359" s="45"/>
      <c r="J359" s="45"/>
      <c r="K359" s="39">
        <f t="shared" si="15"/>
        <v>0</v>
      </c>
      <c r="L359" s="39">
        <f t="shared" si="16"/>
        <v>0</v>
      </c>
      <c r="M359" s="5">
        <f t="shared" si="17"/>
        <v>0</v>
      </c>
    </row>
    <row r="360" ht="15.75" customHeight="1">
      <c r="E360" s="39"/>
      <c r="F360" s="45"/>
      <c r="G360" s="44" t="str">
        <f>IFERROR(__xludf.DUMMYFUNCTION("IFERROR(GOOGLEFINANCE(B360,""price""),"""")"),"")</f>
        <v/>
      </c>
      <c r="H360" s="17"/>
      <c r="I360" s="45"/>
      <c r="J360" s="45"/>
      <c r="K360" s="39">
        <f t="shared" si="15"/>
        <v>0</v>
      </c>
      <c r="L360" s="39">
        <f t="shared" si="16"/>
        <v>0</v>
      </c>
      <c r="M360" s="5">
        <f t="shared" si="17"/>
        <v>0</v>
      </c>
    </row>
    <row r="361" ht="15.75" customHeight="1">
      <c r="E361" s="39"/>
      <c r="F361" s="45"/>
      <c r="G361" s="44" t="str">
        <f>IFERROR(__xludf.DUMMYFUNCTION("IFERROR(GOOGLEFINANCE(B361,""price""),"""")"),"")</f>
        <v/>
      </c>
      <c r="H361" s="17"/>
      <c r="I361" s="45"/>
      <c r="J361" s="45"/>
      <c r="K361" s="39">
        <f t="shared" si="15"/>
        <v>0</v>
      </c>
      <c r="L361" s="39">
        <f t="shared" si="16"/>
        <v>0</v>
      </c>
      <c r="M361" s="5">
        <f t="shared" si="17"/>
        <v>0</v>
      </c>
    </row>
    <row r="362" ht="15.75" customHeight="1">
      <c r="E362" s="39"/>
      <c r="F362" s="45"/>
      <c r="G362" s="44" t="str">
        <f>IFERROR(__xludf.DUMMYFUNCTION("IFERROR(GOOGLEFINANCE(B362,""price""),"""")"),"")</f>
        <v/>
      </c>
      <c r="H362" s="17"/>
      <c r="I362" s="45"/>
      <c r="J362" s="45"/>
      <c r="K362" s="39">
        <f t="shared" si="15"/>
        <v>0</v>
      </c>
      <c r="L362" s="39">
        <f t="shared" si="16"/>
        <v>0</v>
      </c>
      <c r="M362" s="5">
        <f t="shared" si="17"/>
        <v>0</v>
      </c>
    </row>
    <row r="363" ht="15.75" customHeight="1">
      <c r="E363" s="39"/>
      <c r="F363" s="45"/>
      <c r="G363" s="44" t="str">
        <f>IFERROR(__xludf.DUMMYFUNCTION("IFERROR(GOOGLEFINANCE(B363,""price""),"""")"),"")</f>
        <v/>
      </c>
      <c r="H363" s="17"/>
      <c r="I363" s="45"/>
      <c r="J363" s="45"/>
      <c r="K363" s="39">
        <f t="shared" si="15"/>
        <v>0</v>
      </c>
      <c r="L363" s="39">
        <f t="shared" si="16"/>
        <v>0</v>
      </c>
      <c r="M363" s="5">
        <f t="shared" si="17"/>
        <v>0</v>
      </c>
    </row>
    <row r="364" ht="15.75" customHeight="1">
      <c r="E364" s="39"/>
      <c r="F364" s="45"/>
      <c r="G364" s="44" t="str">
        <f>IFERROR(__xludf.DUMMYFUNCTION("IFERROR(GOOGLEFINANCE(B364,""price""),"""")"),"")</f>
        <v/>
      </c>
      <c r="H364" s="17"/>
      <c r="I364" s="45"/>
      <c r="J364" s="45"/>
      <c r="K364" s="39">
        <f t="shared" si="15"/>
        <v>0</v>
      </c>
      <c r="L364" s="39">
        <f t="shared" si="16"/>
        <v>0</v>
      </c>
      <c r="M364" s="5">
        <f t="shared" si="17"/>
        <v>0</v>
      </c>
    </row>
    <row r="365" ht="15.75" customHeight="1">
      <c r="E365" s="39"/>
      <c r="F365" s="45"/>
      <c r="G365" s="44" t="str">
        <f>IFERROR(__xludf.DUMMYFUNCTION("IFERROR(GOOGLEFINANCE(B365,""price""),"""")"),"")</f>
        <v/>
      </c>
      <c r="H365" s="17"/>
      <c r="I365" s="45"/>
      <c r="J365" s="45"/>
      <c r="K365" s="39">
        <f t="shared" si="15"/>
        <v>0</v>
      </c>
      <c r="L365" s="39">
        <f t="shared" si="16"/>
        <v>0</v>
      </c>
      <c r="M365" s="5">
        <f t="shared" si="17"/>
        <v>0</v>
      </c>
    </row>
    <row r="366" ht="15.75" customHeight="1">
      <c r="E366" s="39"/>
      <c r="F366" s="45"/>
      <c r="G366" s="44" t="str">
        <f>IFERROR(__xludf.DUMMYFUNCTION("IFERROR(GOOGLEFINANCE(B366,""price""),"""")"),"")</f>
        <v/>
      </c>
      <c r="H366" s="17"/>
      <c r="I366" s="45"/>
      <c r="J366" s="45"/>
      <c r="K366" s="39">
        <f t="shared" si="15"/>
        <v>0</v>
      </c>
      <c r="L366" s="39">
        <f t="shared" si="16"/>
        <v>0</v>
      </c>
      <c r="M366" s="5">
        <f t="shared" si="17"/>
        <v>0</v>
      </c>
    </row>
    <row r="367" ht="15.75" customHeight="1">
      <c r="E367" s="39"/>
      <c r="F367" s="45"/>
      <c r="G367" s="44" t="str">
        <f>IFERROR(__xludf.DUMMYFUNCTION("IFERROR(GOOGLEFINANCE(B367,""price""),"""")"),"")</f>
        <v/>
      </c>
      <c r="H367" s="17"/>
      <c r="I367" s="45"/>
      <c r="J367" s="45"/>
      <c r="K367" s="39">
        <f t="shared" si="15"/>
        <v>0</v>
      </c>
      <c r="L367" s="39">
        <f t="shared" si="16"/>
        <v>0</v>
      </c>
      <c r="M367" s="5">
        <f t="shared" si="17"/>
        <v>0</v>
      </c>
    </row>
    <row r="368" ht="15.75" customHeight="1">
      <c r="E368" s="39"/>
      <c r="F368" s="45"/>
      <c r="G368" s="44" t="str">
        <f>IFERROR(__xludf.DUMMYFUNCTION("IFERROR(GOOGLEFINANCE(B368,""price""),"""")"),"")</f>
        <v/>
      </c>
      <c r="H368" s="17"/>
      <c r="I368" s="45"/>
      <c r="J368" s="45"/>
      <c r="K368" s="39">
        <f t="shared" si="15"/>
        <v>0</v>
      </c>
      <c r="L368" s="39">
        <f t="shared" si="16"/>
        <v>0</v>
      </c>
      <c r="M368" s="5">
        <f t="shared" si="17"/>
        <v>0</v>
      </c>
    </row>
    <row r="369" ht="15.75" customHeight="1">
      <c r="E369" s="39"/>
      <c r="F369" s="45"/>
      <c r="G369" s="44" t="str">
        <f>IFERROR(__xludf.DUMMYFUNCTION("IFERROR(GOOGLEFINANCE(B369,""price""),"""")"),"")</f>
        <v/>
      </c>
      <c r="H369" s="17"/>
      <c r="I369" s="45"/>
      <c r="J369" s="45"/>
      <c r="K369" s="39">
        <f t="shared" si="15"/>
        <v>0</v>
      </c>
      <c r="L369" s="39">
        <f t="shared" si="16"/>
        <v>0</v>
      </c>
      <c r="M369" s="5">
        <f t="shared" si="17"/>
        <v>0</v>
      </c>
    </row>
    <row r="370" ht="15.75" customHeight="1">
      <c r="E370" s="39"/>
      <c r="F370" s="45"/>
      <c r="G370" s="44" t="str">
        <f>IFERROR(__xludf.DUMMYFUNCTION("IFERROR(GOOGLEFINANCE(B370,""price""),"""")"),"")</f>
        <v/>
      </c>
      <c r="H370" s="17"/>
      <c r="I370" s="45"/>
      <c r="J370" s="45"/>
      <c r="K370" s="39">
        <f t="shared" si="15"/>
        <v>0</v>
      </c>
      <c r="L370" s="39">
        <f t="shared" si="16"/>
        <v>0</v>
      </c>
      <c r="M370" s="5">
        <f t="shared" si="17"/>
        <v>0</v>
      </c>
    </row>
    <row r="371" ht="15.75" customHeight="1">
      <c r="E371" s="39"/>
      <c r="F371" s="45"/>
      <c r="G371" s="44" t="str">
        <f>IFERROR(__xludf.DUMMYFUNCTION("IFERROR(GOOGLEFINANCE(B371,""price""),"""")"),"")</f>
        <v/>
      </c>
      <c r="H371" s="17"/>
      <c r="I371" s="45"/>
      <c r="J371" s="45"/>
      <c r="K371" s="39">
        <f t="shared" si="15"/>
        <v>0</v>
      </c>
      <c r="L371" s="39">
        <f t="shared" si="16"/>
        <v>0</v>
      </c>
      <c r="M371" s="5">
        <f t="shared" si="17"/>
        <v>0</v>
      </c>
    </row>
    <row r="372" ht="15.75" customHeight="1">
      <c r="E372" s="39"/>
      <c r="F372" s="45"/>
      <c r="G372" s="44" t="str">
        <f>IFERROR(__xludf.DUMMYFUNCTION("IFERROR(GOOGLEFINANCE(B372,""price""),"""")"),"")</f>
        <v/>
      </c>
      <c r="H372" s="17"/>
      <c r="I372" s="45"/>
      <c r="J372" s="45"/>
      <c r="K372" s="39">
        <f t="shared" si="15"/>
        <v>0</v>
      </c>
      <c r="L372" s="39">
        <f t="shared" si="16"/>
        <v>0</v>
      </c>
      <c r="M372" s="5">
        <f t="shared" si="17"/>
        <v>0</v>
      </c>
    </row>
    <row r="373" ht="15.75" customHeight="1">
      <c r="E373" s="39"/>
      <c r="F373" s="45"/>
      <c r="G373" s="44" t="str">
        <f>IFERROR(__xludf.DUMMYFUNCTION("IFERROR(GOOGLEFINANCE(B373,""price""),"""")"),"")</f>
        <v/>
      </c>
      <c r="H373" s="17"/>
      <c r="I373" s="45"/>
      <c r="J373" s="45"/>
      <c r="K373" s="39">
        <f t="shared" si="15"/>
        <v>0</v>
      </c>
      <c r="L373" s="39">
        <f t="shared" si="16"/>
        <v>0</v>
      </c>
      <c r="M373" s="5">
        <f t="shared" si="17"/>
        <v>0</v>
      </c>
    </row>
    <row r="374" ht="15.75" customHeight="1">
      <c r="E374" s="39"/>
      <c r="F374" s="45"/>
      <c r="G374" s="44" t="str">
        <f>IFERROR(__xludf.DUMMYFUNCTION("IFERROR(GOOGLEFINANCE(B374,""price""),"""")"),"")</f>
        <v/>
      </c>
      <c r="H374" s="17"/>
      <c r="I374" s="45"/>
      <c r="J374" s="45"/>
      <c r="K374" s="39">
        <f t="shared" si="15"/>
        <v>0</v>
      </c>
      <c r="L374" s="39">
        <f t="shared" si="16"/>
        <v>0</v>
      </c>
      <c r="M374" s="5">
        <f t="shared" si="17"/>
        <v>0</v>
      </c>
    </row>
    <row r="375" ht="15.75" customHeight="1">
      <c r="E375" s="39"/>
      <c r="F375" s="45"/>
      <c r="G375" s="44" t="str">
        <f>IFERROR(__xludf.DUMMYFUNCTION("IFERROR(GOOGLEFINANCE(B375,""price""),"""")"),"")</f>
        <v/>
      </c>
      <c r="H375" s="17"/>
      <c r="I375" s="45"/>
      <c r="J375" s="45"/>
      <c r="K375" s="39">
        <f t="shared" si="15"/>
        <v>0</v>
      </c>
      <c r="L375" s="39">
        <f t="shared" si="16"/>
        <v>0</v>
      </c>
      <c r="M375" s="5">
        <f t="shared" si="17"/>
        <v>0</v>
      </c>
    </row>
    <row r="376" ht="15.75" customHeight="1">
      <c r="E376" s="39"/>
      <c r="F376" s="45"/>
      <c r="G376" s="44" t="str">
        <f>IFERROR(__xludf.DUMMYFUNCTION("IFERROR(GOOGLEFINANCE(B376,""price""),"""")"),"")</f>
        <v/>
      </c>
      <c r="H376" s="17"/>
      <c r="I376" s="45"/>
      <c r="J376" s="45"/>
      <c r="K376" s="39">
        <f t="shared" si="15"/>
        <v>0</v>
      </c>
      <c r="L376" s="39">
        <f t="shared" si="16"/>
        <v>0</v>
      </c>
      <c r="M376" s="5">
        <f t="shared" si="17"/>
        <v>0</v>
      </c>
    </row>
    <row r="377" ht="15.75" customHeight="1">
      <c r="E377" s="39"/>
      <c r="F377" s="45"/>
      <c r="G377" s="44" t="str">
        <f>IFERROR(__xludf.DUMMYFUNCTION("IFERROR(GOOGLEFINANCE(B377,""price""),"""")"),"")</f>
        <v/>
      </c>
      <c r="H377" s="17"/>
      <c r="I377" s="45"/>
      <c r="J377" s="45"/>
      <c r="K377" s="39">
        <f t="shared" si="15"/>
        <v>0</v>
      </c>
      <c r="L377" s="39">
        <f t="shared" si="16"/>
        <v>0</v>
      </c>
      <c r="M377" s="5">
        <f t="shared" si="17"/>
        <v>0</v>
      </c>
    </row>
    <row r="378" ht="15.75" customHeight="1">
      <c r="E378" s="39"/>
      <c r="F378" s="45"/>
      <c r="G378" s="44" t="str">
        <f>IFERROR(__xludf.DUMMYFUNCTION("IFERROR(GOOGLEFINANCE(B378,""price""),"""")"),"")</f>
        <v/>
      </c>
      <c r="H378" s="17"/>
      <c r="I378" s="45"/>
      <c r="J378" s="45"/>
      <c r="K378" s="39">
        <f t="shared" si="15"/>
        <v>0</v>
      </c>
      <c r="L378" s="39">
        <f t="shared" si="16"/>
        <v>0</v>
      </c>
      <c r="M378" s="5">
        <f t="shared" si="17"/>
        <v>0</v>
      </c>
    </row>
    <row r="379" ht="15.75" customHeight="1">
      <c r="E379" s="39"/>
      <c r="F379" s="45"/>
      <c r="G379" s="44" t="str">
        <f>IFERROR(__xludf.DUMMYFUNCTION("IFERROR(GOOGLEFINANCE(B379,""price""),"""")"),"")</f>
        <v/>
      </c>
      <c r="H379" s="17"/>
      <c r="I379" s="45"/>
      <c r="J379" s="45"/>
      <c r="K379" s="39">
        <f t="shared" si="15"/>
        <v>0</v>
      </c>
      <c r="L379" s="39">
        <f t="shared" si="16"/>
        <v>0</v>
      </c>
      <c r="M379" s="5">
        <f t="shared" si="17"/>
        <v>0</v>
      </c>
    </row>
    <row r="380" ht="15.75" customHeight="1">
      <c r="E380" s="39"/>
      <c r="F380" s="45"/>
      <c r="G380" s="44" t="str">
        <f>IFERROR(__xludf.DUMMYFUNCTION("IFERROR(GOOGLEFINANCE(B380,""price""),"""")"),"")</f>
        <v/>
      </c>
      <c r="H380" s="17"/>
      <c r="I380" s="45"/>
      <c r="J380" s="45"/>
      <c r="K380" s="39">
        <f t="shared" si="15"/>
        <v>0</v>
      </c>
      <c r="L380" s="39">
        <f t="shared" si="16"/>
        <v>0</v>
      </c>
      <c r="M380" s="5">
        <f t="shared" si="17"/>
        <v>0</v>
      </c>
    </row>
    <row r="381" ht="15.75" customHeight="1">
      <c r="E381" s="39"/>
      <c r="F381" s="45"/>
      <c r="G381" s="44" t="str">
        <f>IFERROR(__xludf.DUMMYFUNCTION("IFERROR(GOOGLEFINANCE(B381,""price""),"""")"),"")</f>
        <v/>
      </c>
      <c r="H381" s="17"/>
      <c r="I381" s="45"/>
      <c r="J381" s="45"/>
      <c r="K381" s="39">
        <f t="shared" si="15"/>
        <v>0</v>
      </c>
      <c r="L381" s="39">
        <f t="shared" si="16"/>
        <v>0</v>
      </c>
      <c r="M381" s="5">
        <f t="shared" si="17"/>
        <v>0</v>
      </c>
    </row>
    <row r="382" ht="15.75" customHeight="1">
      <c r="E382" s="39"/>
      <c r="F382" s="45"/>
      <c r="G382" s="44" t="str">
        <f>IFERROR(__xludf.DUMMYFUNCTION("IFERROR(GOOGLEFINANCE(B382,""price""),"""")"),"")</f>
        <v/>
      </c>
      <c r="H382" s="17"/>
      <c r="I382" s="45"/>
      <c r="J382" s="45"/>
      <c r="K382" s="39">
        <f t="shared" si="15"/>
        <v>0</v>
      </c>
      <c r="L382" s="39">
        <f t="shared" si="16"/>
        <v>0</v>
      </c>
      <c r="M382" s="5">
        <f t="shared" si="17"/>
        <v>0</v>
      </c>
    </row>
    <row r="383" ht="15.75" customHeight="1">
      <c r="E383" s="39"/>
      <c r="F383" s="45"/>
      <c r="G383" s="44" t="str">
        <f>IFERROR(__xludf.DUMMYFUNCTION("IFERROR(GOOGLEFINANCE(B383,""price""),"""")"),"")</f>
        <v/>
      </c>
      <c r="H383" s="17"/>
      <c r="I383" s="45"/>
      <c r="J383" s="45"/>
      <c r="K383" s="39">
        <f t="shared" si="15"/>
        <v>0</v>
      </c>
      <c r="L383" s="39">
        <f t="shared" si="16"/>
        <v>0</v>
      </c>
      <c r="M383" s="5">
        <f t="shared" si="17"/>
        <v>0</v>
      </c>
    </row>
    <row r="384" ht="15.75" customHeight="1">
      <c r="E384" s="39"/>
      <c r="F384" s="45"/>
      <c r="G384" s="44" t="str">
        <f>IFERROR(__xludf.DUMMYFUNCTION("IFERROR(GOOGLEFINANCE(B384,""price""),"""")"),"")</f>
        <v/>
      </c>
      <c r="H384" s="17"/>
      <c r="I384" s="45"/>
      <c r="J384" s="45"/>
      <c r="K384" s="39">
        <f t="shared" si="15"/>
        <v>0</v>
      </c>
      <c r="L384" s="39">
        <f t="shared" si="16"/>
        <v>0</v>
      </c>
      <c r="M384" s="5">
        <f t="shared" si="17"/>
        <v>0</v>
      </c>
    </row>
    <row r="385" ht="15.75" customHeight="1">
      <c r="E385" s="39"/>
      <c r="F385" s="45"/>
      <c r="G385" s="44" t="str">
        <f>IFERROR(__xludf.DUMMYFUNCTION("IFERROR(GOOGLEFINANCE(B385,""price""),"""")"),"")</f>
        <v/>
      </c>
      <c r="H385" s="17"/>
      <c r="I385" s="45"/>
      <c r="J385" s="45"/>
      <c r="K385" s="39">
        <f t="shared" si="15"/>
        <v>0</v>
      </c>
      <c r="L385" s="39">
        <f t="shared" si="16"/>
        <v>0</v>
      </c>
      <c r="M385" s="5">
        <f t="shared" si="17"/>
        <v>0</v>
      </c>
    </row>
    <row r="386" ht="15.75" customHeight="1">
      <c r="E386" s="39"/>
      <c r="F386" s="45"/>
      <c r="G386" s="44" t="str">
        <f>IFERROR(__xludf.DUMMYFUNCTION("IFERROR(GOOGLEFINANCE(B386,""price""),"""")"),"")</f>
        <v/>
      </c>
      <c r="H386" s="17"/>
      <c r="I386" s="45"/>
      <c r="J386" s="45"/>
      <c r="K386" s="39">
        <f t="shared" si="15"/>
        <v>0</v>
      </c>
      <c r="L386" s="39">
        <f t="shared" si="16"/>
        <v>0</v>
      </c>
      <c r="M386" s="5">
        <f t="shared" si="17"/>
        <v>0</v>
      </c>
    </row>
    <row r="387" ht="15.75" customHeight="1">
      <c r="E387" s="39"/>
      <c r="F387" s="45"/>
      <c r="G387" s="44" t="str">
        <f>IFERROR(__xludf.DUMMYFUNCTION("IFERROR(GOOGLEFINANCE(B387,""price""),"""")"),"")</f>
        <v/>
      </c>
      <c r="H387" s="17"/>
      <c r="I387" s="45"/>
      <c r="J387" s="45"/>
      <c r="K387" s="39">
        <f t="shared" si="15"/>
        <v>0</v>
      </c>
      <c r="L387" s="39">
        <f t="shared" si="16"/>
        <v>0</v>
      </c>
      <c r="M387" s="5">
        <f t="shared" si="17"/>
        <v>0</v>
      </c>
    </row>
    <row r="388" ht="15.75" customHeight="1">
      <c r="E388" s="39"/>
      <c r="F388" s="45"/>
      <c r="G388" s="44" t="str">
        <f>IFERROR(__xludf.DUMMYFUNCTION("IFERROR(GOOGLEFINANCE(B388,""price""),"""")"),"")</f>
        <v/>
      </c>
      <c r="H388" s="17"/>
      <c r="I388" s="45"/>
      <c r="J388" s="45"/>
      <c r="K388" s="39">
        <f t="shared" si="15"/>
        <v>0</v>
      </c>
      <c r="L388" s="39">
        <f t="shared" si="16"/>
        <v>0</v>
      </c>
      <c r="M388" s="5">
        <f t="shared" si="17"/>
        <v>0</v>
      </c>
    </row>
    <row r="389" ht="15.75" customHeight="1">
      <c r="E389" s="39"/>
      <c r="F389" s="45"/>
      <c r="G389" s="44" t="str">
        <f>IFERROR(__xludf.DUMMYFUNCTION("IFERROR(GOOGLEFINANCE(B389,""price""),"""")"),"")</f>
        <v/>
      </c>
      <c r="H389" s="17"/>
      <c r="I389" s="45"/>
      <c r="J389" s="45"/>
      <c r="K389" s="39">
        <f t="shared" si="15"/>
        <v>0</v>
      </c>
      <c r="L389" s="39">
        <f t="shared" si="16"/>
        <v>0</v>
      </c>
      <c r="M389" s="5">
        <f t="shared" si="17"/>
        <v>0</v>
      </c>
    </row>
    <row r="390" ht="15.75" customHeight="1">
      <c r="E390" s="39"/>
      <c r="F390" s="45"/>
      <c r="G390" s="44" t="str">
        <f>IFERROR(__xludf.DUMMYFUNCTION("IFERROR(GOOGLEFINANCE(B390,""price""),"""")"),"")</f>
        <v/>
      </c>
      <c r="H390" s="17"/>
      <c r="I390" s="45"/>
      <c r="J390" s="45"/>
      <c r="K390" s="39">
        <f t="shared" si="15"/>
        <v>0</v>
      </c>
      <c r="L390" s="39">
        <f t="shared" si="16"/>
        <v>0</v>
      </c>
      <c r="M390" s="5">
        <f t="shared" si="17"/>
        <v>0</v>
      </c>
    </row>
    <row r="391" ht="15.75" customHeight="1">
      <c r="E391" s="39"/>
      <c r="F391" s="45"/>
      <c r="G391" s="44" t="str">
        <f>IFERROR(__xludf.DUMMYFUNCTION("IFERROR(GOOGLEFINANCE(B391,""price""),"""")"),"")</f>
        <v/>
      </c>
      <c r="H391" s="17"/>
      <c r="I391" s="45"/>
      <c r="J391" s="45"/>
      <c r="K391" s="39">
        <f t="shared" si="15"/>
        <v>0</v>
      </c>
      <c r="L391" s="39">
        <f t="shared" si="16"/>
        <v>0</v>
      </c>
      <c r="M391" s="5">
        <f t="shared" si="17"/>
        <v>0</v>
      </c>
    </row>
    <row r="392" ht="15.75" customHeight="1">
      <c r="E392" s="39"/>
      <c r="F392" s="45"/>
      <c r="G392" s="44" t="str">
        <f>IFERROR(__xludf.DUMMYFUNCTION("IFERROR(GOOGLEFINANCE(B392,""price""),"""")"),"")</f>
        <v/>
      </c>
      <c r="H392" s="17"/>
      <c r="I392" s="45"/>
      <c r="J392" s="45"/>
      <c r="K392" s="39">
        <f t="shared" si="15"/>
        <v>0</v>
      </c>
      <c r="L392" s="39">
        <f t="shared" si="16"/>
        <v>0</v>
      </c>
      <c r="M392" s="5">
        <f t="shared" si="17"/>
        <v>0</v>
      </c>
    </row>
    <row r="393" ht="15.75" customHeight="1">
      <c r="E393" s="39"/>
      <c r="F393" s="45"/>
      <c r="G393" s="44" t="str">
        <f>IFERROR(__xludf.DUMMYFUNCTION("IFERROR(GOOGLEFINANCE(B393,""price""),"""")"),"")</f>
        <v/>
      </c>
      <c r="H393" s="17"/>
      <c r="I393" s="45"/>
      <c r="J393" s="45"/>
      <c r="K393" s="39">
        <f t="shared" si="15"/>
        <v>0</v>
      </c>
      <c r="L393" s="39">
        <f t="shared" si="16"/>
        <v>0</v>
      </c>
      <c r="M393" s="5">
        <f t="shared" si="17"/>
        <v>0</v>
      </c>
    </row>
    <row r="394" ht="15.75" customHeight="1">
      <c r="E394" s="39"/>
      <c r="F394" s="45"/>
      <c r="G394" s="44" t="str">
        <f>IFERROR(__xludf.DUMMYFUNCTION("IFERROR(GOOGLEFINANCE(B394,""price""),"""")"),"")</f>
        <v/>
      </c>
      <c r="H394" s="17"/>
      <c r="I394" s="45"/>
      <c r="J394" s="45"/>
      <c r="K394" s="39">
        <f t="shared" si="15"/>
        <v>0</v>
      </c>
      <c r="L394" s="39">
        <f t="shared" si="16"/>
        <v>0</v>
      </c>
      <c r="M394" s="5">
        <f t="shared" si="17"/>
        <v>0</v>
      </c>
    </row>
    <row r="395" ht="15.75" customHeight="1">
      <c r="E395" s="39"/>
      <c r="F395" s="45"/>
      <c r="G395" s="44" t="str">
        <f>IFERROR(__xludf.DUMMYFUNCTION("IFERROR(GOOGLEFINANCE(B395,""price""),"""")"),"")</f>
        <v/>
      </c>
      <c r="H395" s="17"/>
      <c r="I395" s="45"/>
      <c r="J395" s="45"/>
      <c r="K395" s="39">
        <f t="shared" si="15"/>
        <v>0</v>
      </c>
      <c r="L395" s="39">
        <f t="shared" si="16"/>
        <v>0</v>
      </c>
      <c r="M395" s="5">
        <f t="shared" si="17"/>
        <v>0</v>
      </c>
    </row>
    <row r="396" ht="15.75" customHeight="1">
      <c r="E396" s="39"/>
      <c r="F396" s="45"/>
      <c r="G396" s="44" t="str">
        <f>IFERROR(__xludf.DUMMYFUNCTION("IFERROR(GOOGLEFINANCE(B396,""price""),"""")"),"")</f>
        <v/>
      </c>
      <c r="H396" s="17"/>
      <c r="I396" s="45"/>
      <c r="J396" s="45"/>
      <c r="K396" s="39">
        <f t="shared" si="15"/>
        <v>0</v>
      </c>
      <c r="L396" s="39">
        <f t="shared" si="16"/>
        <v>0</v>
      </c>
      <c r="M396" s="5">
        <f t="shared" si="17"/>
        <v>0</v>
      </c>
    </row>
    <row r="397" ht="15.75" customHeight="1">
      <c r="E397" s="39"/>
      <c r="F397" s="45"/>
      <c r="G397" s="44" t="str">
        <f>IFERROR(__xludf.DUMMYFUNCTION("IFERROR(GOOGLEFINANCE(B397,""price""),"""")"),"")</f>
        <v/>
      </c>
      <c r="H397" s="17"/>
      <c r="I397" s="45"/>
      <c r="J397" s="45"/>
      <c r="K397" s="39">
        <f t="shared" si="15"/>
        <v>0</v>
      </c>
      <c r="L397" s="39">
        <f t="shared" si="16"/>
        <v>0</v>
      </c>
      <c r="M397" s="5">
        <f t="shared" si="17"/>
        <v>0</v>
      </c>
    </row>
    <row r="398" ht="15.75" customHeight="1">
      <c r="E398" s="39"/>
      <c r="F398" s="45"/>
      <c r="G398" s="44" t="str">
        <f>IFERROR(__xludf.DUMMYFUNCTION("IFERROR(GOOGLEFINANCE(B398,""price""),"""")"),"")</f>
        <v/>
      </c>
      <c r="H398" s="17"/>
      <c r="I398" s="45"/>
      <c r="J398" s="45"/>
      <c r="K398" s="39">
        <f t="shared" si="15"/>
        <v>0</v>
      </c>
      <c r="L398" s="39">
        <f t="shared" si="16"/>
        <v>0</v>
      </c>
      <c r="M398" s="5">
        <f t="shared" si="17"/>
        <v>0</v>
      </c>
    </row>
    <row r="399" ht="15.75" customHeight="1">
      <c r="E399" s="39"/>
      <c r="F399" s="45"/>
      <c r="G399" s="44" t="str">
        <f>IFERROR(__xludf.DUMMYFUNCTION("IFERROR(GOOGLEFINANCE(B399,""price""),"""")"),"")</f>
        <v/>
      </c>
      <c r="H399" s="17"/>
      <c r="I399" s="45"/>
      <c r="J399" s="45"/>
      <c r="K399" s="39">
        <f t="shared" si="15"/>
        <v>0</v>
      </c>
      <c r="L399" s="39">
        <f t="shared" si="16"/>
        <v>0</v>
      </c>
      <c r="M399" s="5">
        <f t="shared" si="17"/>
        <v>0</v>
      </c>
    </row>
    <row r="400" ht="15.75" customHeight="1">
      <c r="E400" s="39"/>
      <c r="F400" s="45"/>
      <c r="G400" s="44" t="str">
        <f>IFERROR(__xludf.DUMMYFUNCTION("IFERROR(GOOGLEFINANCE(B400,""price""),"""")"),"")</f>
        <v/>
      </c>
      <c r="H400" s="17"/>
      <c r="I400" s="45"/>
      <c r="J400" s="45"/>
      <c r="K400" s="39">
        <f t="shared" si="15"/>
        <v>0</v>
      </c>
      <c r="L400" s="39">
        <f t="shared" si="16"/>
        <v>0</v>
      </c>
      <c r="M400" s="5">
        <f t="shared" si="17"/>
        <v>0</v>
      </c>
    </row>
    <row r="401" ht="15.75" customHeight="1">
      <c r="E401" s="39"/>
      <c r="F401" s="45"/>
      <c r="G401" s="44" t="str">
        <f>IFERROR(__xludf.DUMMYFUNCTION("IFERROR(GOOGLEFINANCE(B401,""price""),"""")"),"")</f>
        <v/>
      </c>
      <c r="H401" s="17"/>
      <c r="I401" s="45"/>
      <c r="J401" s="45"/>
      <c r="K401" s="39">
        <f t="shared" si="15"/>
        <v>0</v>
      </c>
      <c r="L401" s="39">
        <f t="shared" si="16"/>
        <v>0</v>
      </c>
      <c r="M401" s="5">
        <f t="shared" si="17"/>
        <v>0</v>
      </c>
    </row>
    <row r="402" ht="15.75" customHeight="1">
      <c r="E402" s="39"/>
      <c r="F402" s="45"/>
      <c r="G402" s="44" t="str">
        <f>IFERROR(__xludf.DUMMYFUNCTION("IFERROR(GOOGLEFINANCE(B402,""price""),"""")"),"")</f>
        <v/>
      </c>
      <c r="H402" s="17"/>
      <c r="I402" s="45"/>
      <c r="J402" s="45"/>
      <c r="K402" s="39">
        <f t="shared" si="15"/>
        <v>0</v>
      </c>
      <c r="L402" s="39">
        <f t="shared" si="16"/>
        <v>0</v>
      </c>
      <c r="M402" s="5">
        <f t="shared" si="17"/>
        <v>0</v>
      </c>
    </row>
    <row r="403" ht="15.75" customHeight="1">
      <c r="E403" s="39"/>
      <c r="F403" s="45"/>
      <c r="G403" s="44" t="str">
        <f>IFERROR(__xludf.DUMMYFUNCTION("IFERROR(GOOGLEFINANCE(B403,""price""),"""")"),"")</f>
        <v/>
      </c>
      <c r="H403" s="17"/>
      <c r="I403" s="45"/>
      <c r="J403" s="45"/>
      <c r="K403" s="39">
        <f t="shared" si="15"/>
        <v>0</v>
      </c>
      <c r="L403" s="39">
        <f t="shared" si="16"/>
        <v>0</v>
      </c>
      <c r="M403" s="5">
        <f t="shared" si="17"/>
        <v>0</v>
      </c>
    </row>
    <row r="404" ht="15.75" customHeight="1">
      <c r="E404" s="39"/>
      <c r="F404" s="45"/>
      <c r="G404" s="44" t="str">
        <f>IFERROR(__xludf.DUMMYFUNCTION("IFERROR(GOOGLEFINANCE(B404,""price""),"""")"),"")</f>
        <v/>
      </c>
      <c r="H404" s="17"/>
      <c r="I404" s="45"/>
      <c r="J404" s="45"/>
      <c r="K404" s="39">
        <f t="shared" si="15"/>
        <v>0</v>
      </c>
      <c r="L404" s="39">
        <f t="shared" si="16"/>
        <v>0</v>
      </c>
      <c r="M404" s="5">
        <f t="shared" si="17"/>
        <v>0</v>
      </c>
    </row>
    <row r="405" ht="15.75" customHeight="1">
      <c r="E405" s="39"/>
      <c r="F405" s="45"/>
      <c r="G405" s="44" t="str">
        <f>IFERROR(__xludf.DUMMYFUNCTION("IFERROR(GOOGLEFINANCE(B405,""price""),"""")"),"")</f>
        <v/>
      </c>
      <c r="H405" s="17"/>
      <c r="I405" s="45"/>
      <c r="J405" s="45"/>
      <c r="K405" s="39">
        <f t="shared" si="15"/>
        <v>0</v>
      </c>
      <c r="L405" s="39">
        <f t="shared" si="16"/>
        <v>0</v>
      </c>
      <c r="M405" s="5">
        <f t="shared" si="17"/>
        <v>0</v>
      </c>
    </row>
    <row r="406" ht="15.75" customHeight="1">
      <c r="E406" s="39"/>
      <c r="F406" s="45"/>
      <c r="G406" s="44" t="str">
        <f>IFERROR(__xludf.DUMMYFUNCTION("IFERROR(GOOGLEFINANCE(B406,""price""),"""")"),"")</f>
        <v/>
      </c>
      <c r="H406" s="17"/>
      <c r="I406" s="45"/>
      <c r="J406" s="45"/>
      <c r="K406" s="39">
        <f t="shared" si="15"/>
        <v>0</v>
      </c>
      <c r="L406" s="39">
        <f t="shared" si="16"/>
        <v>0</v>
      </c>
      <c r="M406" s="5">
        <f t="shared" si="17"/>
        <v>0</v>
      </c>
    </row>
    <row r="407" ht="15.75" customHeight="1">
      <c r="E407" s="39"/>
      <c r="F407" s="45"/>
      <c r="G407" s="44" t="str">
        <f>IFERROR(__xludf.DUMMYFUNCTION("IFERROR(GOOGLEFINANCE(B407,""price""),"""")"),"")</f>
        <v/>
      </c>
      <c r="H407" s="17"/>
      <c r="I407" s="45"/>
      <c r="J407" s="45"/>
      <c r="K407" s="39">
        <f t="shared" si="15"/>
        <v>0</v>
      </c>
      <c r="L407" s="39">
        <f t="shared" si="16"/>
        <v>0</v>
      </c>
      <c r="M407" s="5">
        <f t="shared" si="17"/>
        <v>0</v>
      </c>
    </row>
    <row r="408" ht="15.75" customHeight="1">
      <c r="E408" s="39"/>
      <c r="F408" s="45"/>
      <c r="G408" s="44" t="str">
        <f>IFERROR(__xludf.DUMMYFUNCTION("IFERROR(GOOGLEFINANCE(B408,""price""),"""")"),"")</f>
        <v/>
      </c>
      <c r="H408" s="17"/>
      <c r="I408" s="45"/>
      <c r="J408" s="45"/>
      <c r="K408" s="39">
        <f t="shared" si="15"/>
        <v>0</v>
      </c>
      <c r="L408" s="39">
        <f t="shared" si="16"/>
        <v>0</v>
      </c>
      <c r="M408" s="5">
        <f t="shared" si="17"/>
        <v>0</v>
      </c>
    </row>
    <row r="409" ht="15.75" customHeight="1">
      <c r="E409" s="39"/>
      <c r="F409" s="45"/>
      <c r="G409" s="44" t="str">
        <f>IFERROR(__xludf.DUMMYFUNCTION("IFERROR(GOOGLEFINANCE(B409,""price""),"""")"),"")</f>
        <v/>
      </c>
      <c r="H409" s="17"/>
      <c r="I409" s="45"/>
      <c r="J409" s="45"/>
      <c r="K409" s="39">
        <f t="shared" si="15"/>
        <v>0</v>
      </c>
      <c r="L409" s="39">
        <f t="shared" si="16"/>
        <v>0</v>
      </c>
      <c r="M409" s="5">
        <f t="shared" si="17"/>
        <v>0</v>
      </c>
    </row>
    <row r="410" ht="15.75" customHeight="1">
      <c r="E410" s="39"/>
      <c r="F410" s="45"/>
      <c r="G410" s="44" t="str">
        <f>IFERROR(__xludf.DUMMYFUNCTION("IFERROR(GOOGLEFINANCE(B410,""price""),"""")"),"")</f>
        <v/>
      </c>
      <c r="H410" s="17"/>
      <c r="I410" s="45"/>
      <c r="J410" s="45"/>
      <c r="K410" s="39">
        <f t="shared" si="15"/>
        <v>0</v>
      </c>
      <c r="L410" s="39">
        <f t="shared" si="16"/>
        <v>0</v>
      </c>
      <c r="M410" s="5">
        <f t="shared" si="17"/>
        <v>0</v>
      </c>
    </row>
    <row r="411" ht="15.75" customHeight="1">
      <c r="E411" s="39"/>
      <c r="F411" s="45"/>
      <c r="G411" s="44" t="str">
        <f>IFERROR(__xludf.DUMMYFUNCTION("IFERROR(GOOGLEFINANCE(B411,""price""),"""")"),"")</f>
        <v/>
      </c>
      <c r="H411" s="17"/>
      <c r="I411" s="45"/>
      <c r="J411" s="45"/>
      <c r="K411" s="39">
        <f t="shared" si="15"/>
        <v>0</v>
      </c>
      <c r="L411" s="39">
        <f t="shared" si="16"/>
        <v>0</v>
      </c>
      <c r="M411" s="5">
        <f t="shared" si="17"/>
        <v>0</v>
      </c>
    </row>
    <row r="412" ht="15.75" customHeight="1">
      <c r="E412" s="39"/>
      <c r="F412" s="45"/>
      <c r="G412" s="44" t="str">
        <f>IFERROR(__xludf.DUMMYFUNCTION("IFERROR(GOOGLEFINANCE(B412,""price""),"""")"),"")</f>
        <v/>
      </c>
      <c r="H412" s="17"/>
      <c r="I412" s="45"/>
      <c r="J412" s="45"/>
      <c r="K412" s="39">
        <f t="shared" si="15"/>
        <v>0</v>
      </c>
      <c r="L412" s="39">
        <f t="shared" si="16"/>
        <v>0</v>
      </c>
      <c r="M412" s="5">
        <f t="shared" si="17"/>
        <v>0</v>
      </c>
    </row>
    <row r="413" ht="15.75" customHeight="1">
      <c r="E413" s="39"/>
      <c r="F413" s="45"/>
      <c r="G413" s="44" t="str">
        <f>IFERROR(__xludf.DUMMYFUNCTION("IFERROR(GOOGLEFINANCE(B413,""price""),"""")"),"")</f>
        <v/>
      </c>
      <c r="H413" s="17"/>
      <c r="I413" s="45"/>
      <c r="J413" s="45"/>
      <c r="K413" s="39">
        <f t="shared" si="15"/>
        <v>0</v>
      </c>
      <c r="L413" s="39">
        <f t="shared" si="16"/>
        <v>0</v>
      </c>
      <c r="M413" s="5">
        <f t="shared" si="17"/>
        <v>0</v>
      </c>
    </row>
    <row r="414" ht="15.75" customHeight="1">
      <c r="E414" s="39"/>
      <c r="F414" s="45"/>
      <c r="G414" s="44" t="str">
        <f>IFERROR(__xludf.DUMMYFUNCTION("IFERROR(GOOGLEFINANCE(B414,""price""),"""")"),"")</f>
        <v/>
      </c>
      <c r="H414" s="17"/>
      <c r="I414" s="45"/>
      <c r="J414" s="45"/>
      <c r="K414" s="39">
        <f t="shared" si="15"/>
        <v>0</v>
      </c>
      <c r="L414" s="39">
        <f t="shared" si="16"/>
        <v>0</v>
      </c>
      <c r="M414" s="5">
        <f t="shared" si="17"/>
        <v>0</v>
      </c>
    </row>
    <row r="415" ht="15.75" customHeight="1">
      <c r="E415" s="39"/>
      <c r="F415" s="45"/>
      <c r="G415" s="44" t="str">
        <f>IFERROR(__xludf.DUMMYFUNCTION("IFERROR(GOOGLEFINANCE(B415,""price""),"""")"),"")</f>
        <v/>
      </c>
      <c r="H415" s="17"/>
      <c r="I415" s="45"/>
      <c r="J415" s="45"/>
      <c r="K415" s="39">
        <f t="shared" si="15"/>
        <v>0</v>
      </c>
      <c r="L415" s="39">
        <f t="shared" si="16"/>
        <v>0</v>
      </c>
      <c r="M415" s="5">
        <f t="shared" si="17"/>
        <v>0</v>
      </c>
    </row>
    <row r="416" ht="15.75" customHeight="1">
      <c r="E416" s="39"/>
      <c r="F416" s="45"/>
      <c r="G416" s="44" t="str">
        <f>IFERROR(__xludf.DUMMYFUNCTION("IFERROR(GOOGLEFINANCE(B416,""price""),"""")"),"")</f>
        <v/>
      </c>
      <c r="H416" s="17"/>
      <c r="I416" s="45"/>
      <c r="J416" s="45"/>
      <c r="K416" s="39">
        <f t="shared" si="15"/>
        <v>0</v>
      </c>
      <c r="L416" s="39">
        <f t="shared" si="16"/>
        <v>0</v>
      </c>
      <c r="M416" s="5">
        <f t="shared" si="17"/>
        <v>0</v>
      </c>
    </row>
    <row r="417" ht="15.75" customHeight="1">
      <c r="E417" s="39"/>
      <c r="F417" s="45"/>
      <c r="G417" s="44" t="str">
        <f>IFERROR(__xludf.DUMMYFUNCTION("IFERROR(GOOGLEFINANCE(B417,""price""),"""")"),"")</f>
        <v/>
      </c>
      <c r="H417" s="17"/>
      <c r="I417" s="45"/>
      <c r="J417" s="45"/>
      <c r="K417" s="39">
        <f t="shared" si="15"/>
        <v>0</v>
      </c>
      <c r="L417" s="39">
        <f t="shared" si="16"/>
        <v>0</v>
      </c>
      <c r="M417" s="5">
        <f t="shared" si="17"/>
        <v>0</v>
      </c>
    </row>
    <row r="418" ht="15.75" customHeight="1">
      <c r="E418" s="39"/>
      <c r="F418" s="45"/>
      <c r="G418" s="44" t="str">
        <f>IFERROR(__xludf.DUMMYFUNCTION("IFERROR(GOOGLEFINANCE(B418,""price""),"""")"),"")</f>
        <v/>
      </c>
      <c r="H418" s="17"/>
      <c r="I418" s="45"/>
      <c r="J418" s="45"/>
      <c r="K418" s="39">
        <f t="shared" si="15"/>
        <v>0</v>
      </c>
      <c r="L418" s="39">
        <f t="shared" si="16"/>
        <v>0</v>
      </c>
      <c r="M418" s="5">
        <f t="shared" si="17"/>
        <v>0</v>
      </c>
    </row>
    <row r="419" ht="15.75" customHeight="1">
      <c r="E419" s="39"/>
      <c r="F419" s="45"/>
      <c r="G419" s="44" t="str">
        <f>IFERROR(__xludf.DUMMYFUNCTION("IFERROR(GOOGLEFINANCE(B419,""price""),"""")"),"")</f>
        <v/>
      </c>
      <c r="H419" s="17"/>
      <c r="I419" s="45"/>
      <c r="J419" s="45"/>
      <c r="K419" s="39">
        <f t="shared" si="15"/>
        <v>0</v>
      </c>
      <c r="L419" s="39">
        <f t="shared" si="16"/>
        <v>0</v>
      </c>
      <c r="M419" s="5">
        <f t="shared" si="17"/>
        <v>0</v>
      </c>
    </row>
    <row r="420" ht="15.75" customHeight="1">
      <c r="E420" s="39"/>
      <c r="F420" s="45"/>
      <c r="G420" s="44" t="str">
        <f>IFERROR(__xludf.DUMMYFUNCTION("IFERROR(GOOGLEFINANCE(B420,""price""),"""")"),"")</f>
        <v/>
      </c>
      <c r="H420" s="17"/>
      <c r="I420" s="45"/>
      <c r="J420" s="45"/>
      <c r="K420" s="39">
        <f t="shared" si="15"/>
        <v>0</v>
      </c>
      <c r="L420" s="39">
        <f t="shared" si="16"/>
        <v>0</v>
      </c>
      <c r="M420" s="5">
        <f t="shared" si="17"/>
        <v>0</v>
      </c>
    </row>
    <row r="421" ht="15.75" customHeight="1">
      <c r="E421" s="39"/>
      <c r="F421" s="45"/>
      <c r="G421" s="44" t="str">
        <f>IFERROR(__xludf.DUMMYFUNCTION("IFERROR(GOOGLEFINANCE(B421,""price""),"""")"),"")</f>
        <v/>
      </c>
      <c r="H421" s="17"/>
      <c r="I421" s="45"/>
      <c r="J421" s="45"/>
      <c r="K421" s="39">
        <f t="shared" si="15"/>
        <v>0</v>
      </c>
      <c r="L421" s="39">
        <f t="shared" si="16"/>
        <v>0</v>
      </c>
      <c r="M421" s="5">
        <f t="shared" si="17"/>
        <v>0</v>
      </c>
    </row>
    <row r="422" ht="15.75" customHeight="1">
      <c r="E422" s="39"/>
      <c r="F422" s="45"/>
      <c r="G422" s="44" t="str">
        <f>IFERROR(__xludf.DUMMYFUNCTION("IFERROR(GOOGLEFINANCE(B422,""price""),"""")"),"")</f>
        <v/>
      </c>
      <c r="H422" s="17"/>
      <c r="I422" s="45"/>
      <c r="J422" s="45"/>
      <c r="K422" s="39">
        <f t="shared" si="15"/>
        <v>0</v>
      </c>
      <c r="L422" s="39">
        <f t="shared" si="16"/>
        <v>0</v>
      </c>
      <c r="M422" s="5">
        <f t="shared" si="17"/>
        <v>0</v>
      </c>
    </row>
    <row r="423" ht="15.75" customHeight="1">
      <c r="E423" s="39"/>
      <c r="F423" s="45"/>
      <c r="G423" s="44" t="str">
        <f>IFERROR(__xludf.DUMMYFUNCTION("IFERROR(GOOGLEFINANCE(B423,""price""),"""")"),"")</f>
        <v/>
      </c>
      <c r="H423" s="17"/>
      <c r="I423" s="45"/>
      <c r="J423" s="45"/>
      <c r="K423" s="39">
        <f t="shared" si="15"/>
        <v>0</v>
      </c>
      <c r="L423" s="39">
        <f t="shared" si="16"/>
        <v>0</v>
      </c>
      <c r="M423" s="5">
        <f t="shared" si="17"/>
        <v>0</v>
      </c>
    </row>
    <row r="424" ht="15.75" customHeight="1">
      <c r="E424" s="39"/>
      <c r="F424" s="45"/>
      <c r="G424" s="44" t="str">
        <f>IFERROR(__xludf.DUMMYFUNCTION("IFERROR(GOOGLEFINANCE(B424,""price""),"""")"),"")</f>
        <v/>
      </c>
      <c r="H424" s="17"/>
      <c r="I424" s="45"/>
      <c r="J424" s="45"/>
      <c r="K424" s="39">
        <f t="shared" si="15"/>
        <v>0</v>
      </c>
      <c r="L424" s="39">
        <f t="shared" si="16"/>
        <v>0</v>
      </c>
      <c r="M424" s="5">
        <f t="shared" si="17"/>
        <v>0</v>
      </c>
    </row>
    <row r="425" ht="15.75" customHeight="1">
      <c r="E425" s="39"/>
      <c r="F425" s="45"/>
      <c r="G425" s="44" t="str">
        <f>IFERROR(__xludf.DUMMYFUNCTION("IFERROR(GOOGLEFINANCE(B425,""price""),"""")"),"")</f>
        <v/>
      </c>
      <c r="H425" s="17"/>
      <c r="I425" s="45"/>
      <c r="J425" s="45"/>
      <c r="K425" s="39">
        <f t="shared" si="15"/>
        <v>0</v>
      </c>
      <c r="L425" s="39">
        <f t="shared" si="16"/>
        <v>0</v>
      </c>
      <c r="M425" s="5">
        <f t="shared" si="17"/>
        <v>0</v>
      </c>
    </row>
    <row r="426" ht="15.75" customHeight="1">
      <c r="E426" s="39"/>
      <c r="F426" s="45"/>
      <c r="G426" s="44" t="str">
        <f>IFERROR(__xludf.DUMMYFUNCTION("IFERROR(GOOGLEFINANCE(B426,""price""),"""")"),"")</f>
        <v/>
      </c>
      <c r="H426" s="17"/>
      <c r="I426" s="45"/>
      <c r="J426" s="45"/>
      <c r="K426" s="39">
        <f t="shared" si="15"/>
        <v>0</v>
      </c>
      <c r="L426" s="39">
        <f t="shared" si="16"/>
        <v>0</v>
      </c>
      <c r="M426" s="5">
        <f t="shared" si="17"/>
        <v>0</v>
      </c>
    </row>
    <row r="427" ht="15.75" customHeight="1">
      <c r="E427" s="39"/>
      <c r="F427" s="45"/>
      <c r="G427" s="44" t="str">
        <f>IFERROR(__xludf.DUMMYFUNCTION("IFERROR(GOOGLEFINANCE(B427,""price""),"""")"),"")</f>
        <v/>
      </c>
      <c r="H427" s="17"/>
      <c r="I427" s="45"/>
      <c r="J427" s="45"/>
      <c r="K427" s="39">
        <f t="shared" si="15"/>
        <v>0</v>
      </c>
      <c r="L427" s="39">
        <f t="shared" si="16"/>
        <v>0</v>
      </c>
      <c r="M427" s="5">
        <f t="shared" si="17"/>
        <v>0</v>
      </c>
    </row>
    <row r="428" ht="15.75" customHeight="1">
      <c r="E428" s="39"/>
      <c r="F428" s="45"/>
      <c r="G428" s="44" t="str">
        <f>IFERROR(__xludf.DUMMYFUNCTION("IFERROR(GOOGLEFINANCE(B428,""price""),"""")"),"")</f>
        <v/>
      </c>
      <c r="H428" s="17"/>
      <c r="I428" s="45"/>
      <c r="J428" s="45"/>
      <c r="K428" s="39">
        <f t="shared" si="15"/>
        <v>0</v>
      </c>
      <c r="L428" s="39">
        <f t="shared" si="16"/>
        <v>0</v>
      </c>
      <c r="M428" s="5">
        <f t="shared" si="17"/>
        <v>0</v>
      </c>
    </row>
    <row r="429" ht="15.75" customHeight="1">
      <c r="E429" s="39"/>
      <c r="F429" s="45"/>
      <c r="G429" s="44" t="str">
        <f>IFERROR(__xludf.DUMMYFUNCTION("IFERROR(GOOGLEFINANCE(B429,""price""),"""")"),"")</f>
        <v/>
      </c>
      <c r="H429" s="17"/>
      <c r="I429" s="45"/>
      <c r="J429" s="45"/>
      <c r="K429" s="39">
        <f t="shared" si="15"/>
        <v>0</v>
      </c>
      <c r="L429" s="39">
        <f t="shared" si="16"/>
        <v>0</v>
      </c>
      <c r="M429" s="5">
        <f t="shared" si="17"/>
        <v>0</v>
      </c>
    </row>
    <row r="430" ht="15.75" customHeight="1">
      <c r="E430" s="39"/>
      <c r="F430" s="45"/>
      <c r="G430" s="44" t="str">
        <f>IFERROR(__xludf.DUMMYFUNCTION("IFERROR(GOOGLEFINANCE(B430,""price""),"""")"),"")</f>
        <v/>
      </c>
      <c r="H430" s="17"/>
      <c r="I430" s="45"/>
      <c r="J430" s="45"/>
      <c r="K430" s="39">
        <f t="shared" si="15"/>
        <v>0</v>
      </c>
      <c r="L430" s="39">
        <f t="shared" si="16"/>
        <v>0</v>
      </c>
      <c r="M430" s="5">
        <f t="shared" si="17"/>
        <v>0</v>
      </c>
    </row>
    <row r="431" ht="15.75" customHeight="1">
      <c r="E431" s="39"/>
      <c r="F431" s="45"/>
      <c r="G431" s="44" t="str">
        <f>IFERROR(__xludf.DUMMYFUNCTION("IFERROR(GOOGLEFINANCE(B431,""price""),"""")"),"")</f>
        <v/>
      </c>
      <c r="H431" s="17"/>
      <c r="I431" s="45"/>
      <c r="J431" s="45"/>
      <c r="K431" s="39">
        <f t="shared" si="15"/>
        <v>0</v>
      </c>
      <c r="L431" s="39">
        <f t="shared" si="16"/>
        <v>0</v>
      </c>
      <c r="M431" s="5">
        <f t="shared" si="17"/>
        <v>0</v>
      </c>
    </row>
    <row r="432" ht="15.75" customHeight="1">
      <c r="E432" s="39"/>
      <c r="F432" s="45"/>
      <c r="G432" s="44" t="str">
        <f>IFERROR(__xludf.DUMMYFUNCTION("IFERROR(GOOGLEFINANCE(B432,""price""),"""")"),"")</f>
        <v/>
      </c>
      <c r="H432" s="17"/>
      <c r="I432" s="45"/>
      <c r="J432" s="45"/>
      <c r="K432" s="39">
        <f t="shared" si="15"/>
        <v>0</v>
      </c>
      <c r="L432" s="39">
        <f t="shared" si="16"/>
        <v>0</v>
      </c>
      <c r="M432" s="5">
        <f t="shared" si="17"/>
        <v>0</v>
      </c>
    </row>
    <row r="433" ht="15.75" customHeight="1">
      <c r="E433" s="39"/>
      <c r="F433" s="45"/>
      <c r="G433" s="44" t="str">
        <f>IFERROR(__xludf.DUMMYFUNCTION("IFERROR(GOOGLEFINANCE(B433,""price""),"""")"),"")</f>
        <v/>
      </c>
      <c r="H433" s="17"/>
      <c r="I433" s="45"/>
      <c r="J433" s="45"/>
      <c r="K433" s="39">
        <f t="shared" si="15"/>
        <v>0</v>
      </c>
      <c r="L433" s="39">
        <f t="shared" si="16"/>
        <v>0</v>
      </c>
      <c r="M433" s="5">
        <f t="shared" si="17"/>
        <v>0</v>
      </c>
    </row>
    <row r="434" ht="15.75" customHeight="1">
      <c r="E434" s="39"/>
      <c r="F434" s="45"/>
      <c r="G434" s="44" t="str">
        <f>IFERROR(__xludf.DUMMYFUNCTION("IFERROR(GOOGLEFINANCE(B434,""price""),"""")"),"")</f>
        <v/>
      </c>
      <c r="H434" s="17"/>
      <c r="I434" s="45"/>
      <c r="J434" s="45"/>
      <c r="K434" s="39">
        <f t="shared" si="15"/>
        <v>0</v>
      </c>
      <c r="L434" s="39">
        <f t="shared" si="16"/>
        <v>0</v>
      </c>
      <c r="M434" s="5">
        <f t="shared" si="17"/>
        <v>0</v>
      </c>
    </row>
    <row r="435" ht="15.75" customHeight="1">
      <c r="E435" s="39"/>
      <c r="F435" s="45"/>
      <c r="G435" s="44" t="str">
        <f>IFERROR(__xludf.DUMMYFUNCTION("IFERROR(GOOGLEFINANCE(B435,""price""),"""")"),"")</f>
        <v/>
      </c>
      <c r="H435" s="17"/>
      <c r="I435" s="45"/>
      <c r="J435" s="45"/>
      <c r="K435" s="39">
        <f t="shared" si="15"/>
        <v>0</v>
      </c>
      <c r="L435" s="39">
        <f t="shared" si="16"/>
        <v>0</v>
      </c>
      <c r="M435" s="5">
        <f t="shared" si="17"/>
        <v>0</v>
      </c>
    </row>
    <row r="436" ht="15.75" customHeight="1">
      <c r="E436" s="39"/>
      <c r="F436" s="45"/>
      <c r="G436" s="44" t="str">
        <f>IFERROR(__xludf.DUMMYFUNCTION("IFERROR(GOOGLEFINANCE(B436,""price""),"""")"),"")</f>
        <v/>
      </c>
      <c r="H436" s="17"/>
      <c r="I436" s="45"/>
      <c r="J436" s="45"/>
      <c r="K436" s="39">
        <f t="shared" si="15"/>
        <v>0</v>
      </c>
      <c r="L436" s="39">
        <f t="shared" si="16"/>
        <v>0</v>
      </c>
      <c r="M436" s="5">
        <f t="shared" si="17"/>
        <v>0</v>
      </c>
    </row>
    <row r="437" ht="15.75" customHeight="1">
      <c r="E437" s="39"/>
      <c r="F437" s="45"/>
      <c r="G437" s="44" t="str">
        <f>IFERROR(__xludf.DUMMYFUNCTION("IFERROR(GOOGLEFINANCE(B437,""price""),"""")"),"")</f>
        <v/>
      </c>
      <c r="H437" s="17"/>
      <c r="I437" s="45"/>
      <c r="J437" s="45"/>
      <c r="K437" s="39">
        <f t="shared" si="15"/>
        <v>0</v>
      </c>
      <c r="L437" s="39">
        <f t="shared" si="16"/>
        <v>0</v>
      </c>
      <c r="M437" s="5">
        <f t="shared" si="17"/>
        <v>0</v>
      </c>
    </row>
    <row r="438" ht="15.75" customHeight="1">
      <c r="E438" s="39"/>
      <c r="F438" s="45"/>
      <c r="G438" s="44" t="str">
        <f>IFERROR(__xludf.DUMMYFUNCTION("IFERROR(GOOGLEFINANCE(B438,""price""),"""")"),"")</f>
        <v/>
      </c>
      <c r="H438" s="17"/>
      <c r="I438" s="45"/>
      <c r="J438" s="45"/>
      <c r="K438" s="39">
        <f t="shared" si="15"/>
        <v>0</v>
      </c>
      <c r="L438" s="39">
        <f t="shared" si="16"/>
        <v>0</v>
      </c>
      <c r="M438" s="5">
        <f t="shared" si="17"/>
        <v>0</v>
      </c>
    </row>
    <row r="439" ht="15.75" customHeight="1">
      <c r="E439" s="39"/>
      <c r="F439" s="45"/>
      <c r="G439" s="44" t="str">
        <f>IFERROR(__xludf.DUMMYFUNCTION("IFERROR(GOOGLEFINANCE(B439,""price""),"""")"),"")</f>
        <v/>
      </c>
      <c r="H439" s="17"/>
      <c r="I439" s="45"/>
      <c r="J439" s="45"/>
      <c r="K439" s="39">
        <f t="shared" si="15"/>
        <v>0</v>
      </c>
      <c r="L439" s="39">
        <f t="shared" si="16"/>
        <v>0</v>
      </c>
      <c r="M439" s="5">
        <f t="shared" si="17"/>
        <v>0</v>
      </c>
    </row>
    <row r="440" ht="15.75" customHeight="1">
      <c r="E440" s="39"/>
      <c r="F440" s="45"/>
      <c r="G440" s="44" t="str">
        <f>IFERROR(__xludf.DUMMYFUNCTION("IFERROR(GOOGLEFINANCE(B440,""price""),"""")"),"")</f>
        <v/>
      </c>
      <c r="H440" s="17"/>
      <c r="I440" s="45"/>
      <c r="J440" s="45"/>
      <c r="K440" s="39">
        <f t="shared" si="15"/>
        <v>0</v>
      </c>
      <c r="L440" s="39">
        <f t="shared" si="16"/>
        <v>0</v>
      </c>
      <c r="M440" s="5">
        <f t="shared" si="17"/>
        <v>0</v>
      </c>
    </row>
    <row r="441" ht="15.75" customHeight="1">
      <c r="E441" s="39"/>
      <c r="F441" s="45"/>
      <c r="G441" s="44" t="str">
        <f>IFERROR(__xludf.DUMMYFUNCTION("IFERROR(GOOGLEFINANCE(B441,""price""),"""")"),"")</f>
        <v/>
      </c>
      <c r="H441" s="17"/>
      <c r="I441" s="45"/>
      <c r="J441" s="45"/>
      <c r="K441" s="39">
        <f t="shared" si="15"/>
        <v>0</v>
      </c>
      <c r="L441" s="39">
        <f t="shared" si="16"/>
        <v>0</v>
      </c>
      <c r="M441" s="5">
        <f t="shared" si="17"/>
        <v>0</v>
      </c>
    </row>
    <row r="442" ht="15.75" customHeight="1">
      <c r="E442" s="39"/>
      <c r="F442" s="45"/>
      <c r="G442" s="44" t="str">
        <f>IFERROR(__xludf.DUMMYFUNCTION("IFERROR(GOOGLEFINANCE(B442,""price""),"""")"),"")</f>
        <v/>
      </c>
      <c r="H442" s="17"/>
      <c r="I442" s="45"/>
      <c r="J442" s="45"/>
      <c r="K442" s="39">
        <f t="shared" si="15"/>
        <v>0</v>
      </c>
      <c r="L442" s="39">
        <f t="shared" si="16"/>
        <v>0</v>
      </c>
      <c r="M442" s="5">
        <f t="shared" si="17"/>
        <v>0</v>
      </c>
    </row>
    <row r="443" ht="15.75" customHeight="1">
      <c r="E443" s="39"/>
      <c r="F443" s="45"/>
      <c r="G443" s="44" t="str">
        <f>IFERROR(__xludf.DUMMYFUNCTION("IFERROR(GOOGLEFINANCE(B443,""price""),"""")"),"")</f>
        <v/>
      </c>
      <c r="H443" s="17"/>
      <c r="I443" s="45"/>
      <c r="J443" s="45"/>
      <c r="K443" s="39">
        <f t="shared" si="15"/>
        <v>0</v>
      </c>
      <c r="L443" s="39">
        <f t="shared" si="16"/>
        <v>0</v>
      </c>
      <c r="M443" s="5">
        <f t="shared" si="17"/>
        <v>0</v>
      </c>
    </row>
    <row r="444" ht="15.75" customHeight="1">
      <c r="E444" s="39"/>
      <c r="F444" s="45"/>
      <c r="G444" s="44" t="str">
        <f>IFERROR(__xludf.DUMMYFUNCTION("IFERROR(GOOGLEFINANCE(B444,""price""),"""")"),"")</f>
        <v/>
      </c>
      <c r="H444" s="17"/>
      <c r="I444" s="45"/>
      <c r="J444" s="45"/>
      <c r="K444" s="39">
        <f t="shared" si="15"/>
        <v>0</v>
      </c>
      <c r="L444" s="39">
        <f t="shared" si="16"/>
        <v>0</v>
      </c>
      <c r="M444" s="5">
        <f t="shared" si="17"/>
        <v>0</v>
      </c>
    </row>
    <row r="445" ht="15.75" customHeight="1">
      <c r="E445" s="39"/>
      <c r="F445" s="45"/>
      <c r="G445" s="44" t="str">
        <f>IFERROR(__xludf.DUMMYFUNCTION("IFERROR(GOOGLEFINANCE(B445,""price""),"""")"),"")</f>
        <v/>
      </c>
      <c r="H445" s="17"/>
      <c r="I445" s="45"/>
      <c r="J445" s="45"/>
      <c r="K445" s="39">
        <f t="shared" si="15"/>
        <v>0</v>
      </c>
      <c r="L445" s="39">
        <f t="shared" si="16"/>
        <v>0</v>
      </c>
      <c r="M445" s="5">
        <f t="shared" si="17"/>
        <v>0</v>
      </c>
    </row>
    <row r="446" ht="15.75" customHeight="1">
      <c r="E446" s="39"/>
      <c r="F446" s="45"/>
      <c r="G446" s="44" t="str">
        <f>IFERROR(__xludf.DUMMYFUNCTION("IFERROR(GOOGLEFINANCE(B446,""price""),"""")"),"")</f>
        <v/>
      </c>
      <c r="H446" s="17"/>
      <c r="I446" s="45"/>
      <c r="J446" s="45"/>
      <c r="K446" s="39">
        <f t="shared" si="15"/>
        <v>0</v>
      </c>
      <c r="L446" s="39">
        <f t="shared" si="16"/>
        <v>0</v>
      </c>
      <c r="M446" s="5">
        <f t="shared" si="17"/>
        <v>0</v>
      </c>
    </row>
    <row r="447" ht="15.75" customHeight="1">
      <c r="E447" s="39"/>
      <c r="F447" s="45"/>
      <c r="G447" s="44" t="str">
        <f>IFERROR(__xludf.DUMMYFUNCTION("IFERROR(GOOGLEFINANCE(B447,""price""),"""")"),"")</f>
        <v/>
      </c>
      <c r="H447" s="17"/>
      <c r="I447" s="45"/>
      <c r="J447" s="45"/>
      <c r="K447" s="39">
        <f t="shared" si="15"/>
        <v>0</v>
      </c>
      <c r="L447" s="39">
        <f t="shared" si="16"/>
        <v>0</v>
      </c>
      <c r="M447" s="5">
        <f t="shared" si="17"/>
        <v>0</v>
      </c>
    </row>
    <row r="448" ht="15.75" customHeight="1">
      <c r="E448" s="39"/>
      <c r="F448" s="45"/>
      <c r="G448" s="44" t="str">
        <f>IFERROR(__xludf.DUMMYFUNCTION("IFERROR(GOOGLEFINANCE(B448,""price""),"""")"),"")</f>
        <v/>
      </c>
      <c r="H448" s="17"/>
      <c r="I448" s="45"/>
      <c r="J448" s="45"/>
      <c r="K448" s="39">
        <f t="shared" si="15"/>
        <v>0</v>
      </c>
      <c r="L448" s="39">
        <f t="shared" si="16"/>
        <v>0</v>
      </c>
      <c r="M448" s="5">
        <f t="shared" si="17"/>
        <v>0</v>
      </c>
    </row>
    <row r="449" ht="15.75" customHeight="1">
      <c r="E449" s="39"/>
      <c r="F449" s="45"/>
      <c r="G449" s="44" t="str">
        <f>IFERROR(__xludf.DUMMYFUNCTION("IFERROR(GOOGLEFINANCE(B449,""price""),"""")"),"")</f>
        <v/>
      </c>
      <c r="H449" s="17"/>
      <c r="I449" s="45"/>
      <c r="J449" s="45"/>
      <c r="K449" s="39">
        <f t="shared" si="15"/>
        <v>0</v>
      </c>
      <c r="L449" s="39">
        <f t="shared" si="16"/>
        <v>0</v>
      </c>
      <c r="M449" s="5">
        <f t="shared" si="17"/>
        <v>0</v>
      </c>
    </row>
    <row r="450" ht="15.75" customHeight="1">
      <c r="E450" s="39"/>
      <c r="F450" s="45"/>
      <c r="G450" s="44" t="str">
        <f>IFERROR(__xludf.DUMMYFUNCTION("IFERROR(GOOGLEFINANCE(B450,""price""),"""")"),"")</f>
        <v/>
      </c>
      <c r="H450" s="17"/>
      <c r="I450" s="45"/>
      <c r="J450" s="45"/>
      <c r="K450" s="39">
        <f t="shared" si="15"/>
        <v>0</v>
      </c>
      <c r="L450" s="39">
        <f t="shared" si="16"/>
        <v>0</v>
      </c>
      <c r="M450" s="5">
        <f t="shared" si="17"/>
        <v>0</v>
      </c>
    </row>
    <row r="451" ht="15.75" customHeight="1">
      <c r="E451" s="39"/>
      <c r="F451" s="45"/>
      <c r="G451" s="44" t="str">
        <f>IFERROR(__xludf.DUMMYFUNCTION("IFERROR(GOOGLEFINANCE(B451,""price""),"""")"),"")</f>
        <v/>
      </c>
      <c r="H451" s="17"/>
      <c r="I451" s="45"/>
      <c r="J451" s="45"/>
      <c r="K451" s="39">
        <f t="shared" si="15"/>
        <v>0</v>
      </c>
      <c r="L451" s="39">
        <f t="shared" si="16"/>
        <v>0</v>
      </c>
      <c r="M451" s="5">
        <f t="shared" si="17"/>
        <v>0</v>
      </c>
    </row>
    <row r="452" ht="15.75" customHeight="1">
      <c r="E452" s="39"/>
      <c r="F452" s="45"/>
      <c r="G452" s="44" t="str">
        <f>IFERROR(__xludf.DUMMYFUNCTION("IFERROR(GOOGLEFINANCE(B452,""price""),"""")"),"")</f>
        <v/>
      </c>
      <c r="H452" s="17"/>
      <c r="I452" s="45"/>
      <c r="J452" s="45"/>
      <c r="K452" s="39">
        <f t="shared" si="15"/>
        <v>0</v>
      </c>
      <c r="L452" s="39">
        <f t="shared" si="16"/>
        <v>0</v>
      </c>
      <c r="M452" s="5">
        <f t="shared" si="17"/>
        <v>0</v>
      </c>
    </row>
    <row r="453" ht="15.75" customHeight="1">
      <c r="E453" s="39"/>
      <c r="F453" s="45"/>
      <c r="G453" s="44" t="str">
        <f>IFERROR(__xludf.DUMMYFUNCTION("IFERROR(GOOGLEFINANCE(B453,""price""),"""")"),"")</f>
        <v/>
      </c>
      <c r="H453" s="17"/>
      <c r="I453" s="45"/>
      <c r="J453" s="45"/>
      <c r="K453" s="39">
        <f t="shared" si="15"/>
        <v>0</v>
      </c>
      <c r="L453" s="39">
        <f t="shared" si="16"/>
        <v>0</v>
      </c>
      <c r="M453" s="5">
        <f t="shared" si="17"/>
        <v>0</v>
      </c>
    </row>
    <row r="454" ht="15.75" customHeight="1">
      <c r="E454" s="39"/>
      <c r="F454" s="45"/>
      <c r="G454" s="44" t="str">
        <f>IFERROR(__xludf.DUMMYFUNCTION("IFERROR(GOOGLEFINANCE(B454,""price""),"""")"),"")</f>
        <v/>
      </c>
      <c r="H454" s="17"/>
      <c r="I454" s="45"/>
      <c r="J454" s="45"/>
      <c r="K454" s="39">
        <f t="shared" si="15"/>
        <v>0</v>
      </c>
      <c r="L454" s="39">
        <f t="shared" si="16"/>
        <v>0</v>
      </c>
      <c r="M454" s="5">
        <f t="shared" si="17"/>
        <v>0</v>
      </c>
    </row>
    <row r="455" ht="15.75" customHeight="1">
      <c r="E455" s="39"/>
      <c r="F455" s="45"/>
      <c r="G455" s="44" t="str">
        <f>IFERROR(__xludf.DUMMYFUNCTION("IFERROR(GOOGLEFINANCE(B455,""price""),"""")"),"")</f>
        <v/>
      </c>
      <c r="H455" s="17"/>
      <c r="I455" s="45"/>
      <c r="J455" s="45"/>
      <c r="K455" s="39">
        <f t="shared" si="15"/>
        <v>0</v>
      </c>
      <c r="L455" s="39">
        <f t="shared" si="16"/>
        <v>0</v>
      </c>
      <c r="M455" s="5">
        <f t="shared" si="17"/>
        <v>0</v>
      </c>
    </row>
    <row r="456" ht="15.75" customHeight="1">
      <c r="E456" s="39"/>
      <c r="F456" s="45"/>
      <c r="G456" s="44" t="str">
        <f>IFERROR(__xludf.DUMMYFUNCTION("IFERROR(GOOGLEFINANCE(B456,""price""),"""")"),"")</f>
        <v/>
      </c>
      <c r="H456" s="17"/>
      <c r="I456" s="45"/>
      <c r="J456" s="45"/>
      <c r="K456" s="39">
        <f t="shared" si="15"/>
        <v>0</v>
      </c>
      <c r="L456" s="39">
        <f t="shared" si="16"/>
        <v>0</v>
      </c>
      <c r="M456" s="5">
        <f t="shared" si="17"/>
        <v>0</v>
      </c>
    </row>
    <row r="457" ht="15.75" customHeight="1">
      <c r="E457" s="39"/>
      <c r="F457" s="45"/>
      <c r="G457" s="44" t="str">
        <f>IFERROR(__xludf.DUMMYFUNCTION("IFERROR(GOOGLEFINANCE(B457,""price""),"""")"),"")</f>
        <v/>
      </c>
      <c r="H457" s="17"/>
      <c r="I457" s="45"/>
      <c r="J457" s="45"/>
      <c r="K457" s="39">
        <f t="shared" si="15"/>
        <v>0</v>
      </c>
      <c r="L457" s="39">
        <f t="shared" si="16"/>
        <v>0</v>
      </c>
      <c r="M457" s="5">
        <f t="shared" si="17"/>
        <v>0</v>
      </c>
    </row>
    <row r="458" ht="15.75" customHeight="1">
      <c r="E458" s="39"/>
      <c r="F458" s="45"/>
      <c r="G458" s="44" t="str">
        <f>IFERROR(__xludf.DUMMYFUNCTION("IFERROR(GOOGLEFINANCE(B458,""price""),"""")"),"")</f>
        <v/>
      </c>
      <c r="H458" s="17"/>
      <c r="I458" s="45"/>
      <c r="J458" s="45"/>
      <c r="K458" s="39">
        <f t="shared" si="15"/>
        <v>0</v>
      </c>
      <c r="L458" s="39">
        <f t="shared" si="16"/>
        <v>0</v>
      </c>
      <c r="M458" s="5">
        <f t="shared" si="17"/>
        <v>0</v>
      </c>
    </row>
    <row r="459" ht="15.75" customHeight="1">
      <c r="E459" s="39"/>
      <c r="F459" s="45"/>
      <c r="G459" s="44" t="str">
        <f>IFERROR(__xludf.DUMMYFUNCTION("IFERROR(GOOGLEFINANCE(B459,""price""),"""")"),"")</f>
        <v/>
      </c>
      <c r="H459" s="17"/>
      <c r="I459" s="45"/>
      <c r="J459" s="45"/>
      <c r="K459" s="39">
        <f t="shared" si="15"/>
        <v>0</v>
      </c>
      <c r="L459" s="39">
        <f t="shared" si="16"/>
        <v>0</v>
      </c>
      <c r="M459" s="5">
        <f t="shared" si="17"/>
        <v>0</v>
      </c>
    </row>
    <row r="460" ht="15.75" customHeight="1">
      <c r="E460" s="39"/>
      <c r="F460" s="45"/>
      <c r="G460" s="44" t="str">
        <f>IFERROR(__xludf.DUMMYFUNCTION("IFERROR(GOOGLEFINANCE(B460,""price""),"""")"),"")</f>
        <v/>
      </c>
      <c r="H460" s="17"/>
      <c r="I460" s="45"/>
      <c r="J460" s="45"/>
      <c r="K460" s="39">
        <f t="shared" si="15"/>
        <v>0</v>
      </c>
      <c r="L460" s="39">
        <f t="shared" si="16"/>
        <v>0</v>
      </c>
      <c r="M460" s="5">
        <f t="shared" si="17"/>
        <v>0</v>
      </c>
    </row>
    <row r="461" ht="15.75" customHeight="1">
      <c r="E461" s="39"/>
      <c r="F461" s="45"/>
      <c r="G461" s="44" t="str">
        <f>IFERROR(__xludf.DUMMYFUNCTION("IFERROR(GOOGLEFINANCE(B461,""price""),"""")"),"")</f>
        <v/>
      </c>
      <c r="H461" s="17"/>
      <c r="I461" s="45"/>
      <c r="J461" s="45"/>
      <c r="K461" s="39">
        <f t="shared" si="15"/>
        <v>0</v>
      </c>
      <c r="L461" s="39">
        <f t="shared" si="16"/>
        <v>0</v>
      </c>
      <c r="M461" s="5">
        <f t="shared" si="17"/>
        <v>0</v>
      </c>
    </row>
    <row r="462" ht="15.75" customHeight="1">
      <c r="E462" s="39"/>
      <c r="F462" s="45"/>
      <c r="G462" s="44" t="str">
        <f>IFERROR(__xludf.DUMMYFUNCTION("IFERROR(GOOGLEFINANCE(B462,""price""),"""")"),"")</f>
        <v/>
      </c>
      <c r="H462" s="17"/>
      <c r="I462" s="45"/>
      <c r="J462" s="45"/>
      <c r="K462" s="39">
        <f t="shared" si="15"/>
        <v>0</v>
      </c>
      <c r="L462" s="39">
        <f t="shared" si="16"/>
        <v>0</v>
      </c>
      <c r="M462" s="5">
        <f t="shared" si="17"/>
        <v>0</v>
      </c>
    </row>
    <row r="463" ht="15.75" customHeight="1">
      <c r="E463" s="39"/>
      <c r="F463" s="45"/>
      <c r="G463" s="44" t="str">
        <f>IFERROR(__xludf.DUMMYFUNCTION("IFERROR(GOOGLEFINANCE(B463,""price""),"""")"),"")</f>
        <v/>
      </c>
      <c r="H463" s="17"/>
      <c r="I463" s="45"/>
      <c r="J463" s="45"/>
      <c r="K463" s="39">
        <f t="shared" si="15"/>
        <v>0</v>
      </c>
      <c r="L463" s="39">
        <f t="shared" si="16"/>
        <v>0</v>
      </c>
      <c r="M463" s="5">
        <f t="shared" si="17"/>
        <v>0</v>
      </c>
    </row>
    <row r="464" ht="15.75" customHeight="1">
      <c r="E464" s="39"/>
      <c r="F464" s="45"/>
      <c r="G464" s="44" t="str">
        <f>IFERROR(__xludf.DUMMYFUNCTION("IFERROR(GOOGLEFINANCE(B464,""price""),"""")"),"")</f>
        <v/>
      </c>
      <c r="H464" s="17"/>
      <c r="I464" s="45"/>
      <c r="J464" s="45"/>
      <c r="K464" s="39">
        <f t="shared" si="15"/>
        <v>0</v>
      </c>
      <c r="L464" s="39">
        <f t="shared" si="16"/>
        <v>0</v>
      </c>
      <c r="M464" s="5">
        <f t="shared" si="17"/>
        <v>0</v>
      </c>
    </row>
    <row r="465" ht="15.75" customHeight="1">
      <c r="E465" s="39"/>
      <c r="F465" s="45"/>
      <c r="G465" s="44" t="str">
        <f>IFERROR(__xludf.DUMMYFUNCTION("IFERROR(GOOGLEFINANCE(B465,""price""),"""")"),"")</f>
        <v/>
      </c>
      <c r="H465" s="17"/>
      <c r="I465" s="45"/>
      <c r="J465" s="45"/>
      <c r="K465" s="39">
        <f t="shared" si="15"/>
        <v>0</v>
      </c>
      <c r="L465" s="39">
        <f t="shared" si="16"/>
        <v>0</v>
      </c>
      <c r="M465" s="5">
        <f t="shared" si="17"/>
        <v>0</v>
      </c>
    </row>
    <row r="466" ht="15.75" customHeight="1">
      <c r="E466" s="39"/>
      <c r="F466" s="45"/>
      <c r="G466" s="44" t="str">
        <f>IFERROR(__xludf.DUMMYFUNCTION("IFERROR(GOOGLEFINANCE(B466,""price""),"""")"),"")</f>
        <v/>
      </c>
      <c r="H466" s="17"/>
      <c r="I466" s="45"/>
      <c r="J466" s="45"/>
      <c r="K466" s="39">
        <f t="shared" si="15"/>
        <v>0</v>
      </c>
      <c r="L466" s="39">
        <f t="shared" si="16"/>
        <v>0</v>
      </c>
      <c r="M466" s="5">
        <f t="shared" si="17"/>
        <v>0</v>
      </c>
    </row>
    <row r="467" ht="15.75" customHeight="1">
      <c r="E467" s="39"/>
      <c r="F467" s="45"/>
      <c r="G467" s="44" t="str">
        <f>IFERROR(__xludf.DUMMYFUNCTION("IFERROR(GOOGLEFINANCE(B467,""price""),"""")"),"")</f>
        <v/>
      </c>
      <c r="H467" s="17"/>
      <c r="I467" s="45"/>
      <c r="J467" s="45"/>
      <c r="K467" s="39">
        <f t="shared" si="15"/>
        <v>0</v>
      </c>
      <c r="L467" s="39">
        <f t="shared" si="16"/>
        <v>0</v>
      </c>
      <c r="M467" s="5">
        <f t="shared" si="17"/>
        <v>0</v>
      </c>
    </row>
    <row r="468" ht="15.75" customHeight="1">
      <c r="E468" s="39"/>
      <c r="F468" s="45"/>
      <c r="G468" s="44" t="str">
        <f>IFERROR(__xludf.DUMMYFUNCTION("IFERROR(GOOGLEFINANCE(B468,""price""),"""")"),"")</f>
        <v/>
      </c>
      <c r="H468" s="17"/>
      <c r="I468" s="45"/>
      <c r="J468" s="45"/>
      <c r="K468" s="39">
        <f t="shared" si="15"/>
        <v>0</v>
      </c>
      <c r="L468" s="39">
        <f t="shared" si="16"/>
        <v>0</v>
      </c>
      <c r="M468" s="5">
        <f t="shared" si="17"/>
        <v>0</v>
      </c>
    </row>
    <row r="469" ht="15.75" customHeight="1">
      <c r="E469" s="39"/>
      <c r="F469" s="45"/>
      <c r="G469" s="44" t="str">
        <f>IFERROR(__xludf.DUMMYFUNCTION("IFERROR(GOOGLEFINANCE(B469,""price""),"""")"),"")</f>
        <v/>
      </c>
      <c r="H469" s="17"/>
      <c r="I469" s="45"/>
      <c r="J469" s="45"/>
      <c r="K469" s="39">
        <f t="shared" si="15"/>
        <v>0</v>
      </c>
      <c r="L469" s="39">
        <f t="shared" si="16"/>
        <v>0</v>
      </c>
      <c r="M469" s="5">
        <f t="shared" si="17"/>
        <v>0</v>
      </c>
    </row>
    <row r="470" ht="15.75" customHeight="1">
      <c r="E470" s="39"/>
      <c r="F470" s="45"/>
      <c r="G470" s="44" t="str">
        <f>IFERROR(__xludf.DUMMYFUNCTION("IFERROR(GOOGLEFINANCE(B470,""price""),"""")"),"")</f>
        <v/>
      </c>
      <c r="H470" s="17"/>
      <c r="I470" s="45"/>
      <c r="J470" s="45"/>
      <c r="K470" s="39">
        <f t="shared" si="15"/>
        <v>0</v>
      </c>
      <c r="L470" s="39">
        <f t="shared" si="16"/>
        <v>0</v>
      </c>
      <c r="M470" s="5">
        <f t="shared" si="17"/>
        <v>0</v>
      </c>
    </row>
    <row r="471" ht="15.75" customHeight="1">
      <c r="E471" s="39"/>
      <c r="F471" s="45"/>
      <c r="G471" s="44" t="str">
        <f>IFERROR(__xludf.DUMMYFUNCTION("IFERROR(GOOGLEFINANCE(B471,""price""),"""")"),"")</f>
        <v/>
      </c>
      <c r="H471" s="17"/>
      <c r="I471" s="45"/>
      <c r="J471" s="45"/>
      <c r="K471" s="39">
        <f t="shared" si="15"/>
        <v>0</v>
      </c>
      <c r="L471" s="39">
        <f t="shared" si="16"/>
        <v>0</v>
      </c>
      <c r="M471" s="5">
        <f t="shared" si="17"/>
        <v>0</v>
      </c>
    </row>
    <row r="472" ht="15.75" customHeight="1">
      <c r="E472" s="39"/>
      <c r="F472" s="45"/>
      <c r="G472" s="44" t="str">
        <f>IFERROR(__xludf.DUMMYFUNCTION("IFERROR(GOOGLEFINANCE(B472,""price""),"""")"),"")</f>
        <v/>
      </c>
      <c r="H472" s="17"/>
      <c r="I472" s="45"/>
      <c r="J472" s="45"/>
      <c r="K472" s="39">
        <f t="shared" si="15"/>
        <v>0</v>
      </c>
      <c r="L472" s="39">
        <f t="shared" si="16"/>
        <v>0</v>
      </c>
      <c r="M472" s="5">
        <f t="shared" si="17"/>
        <v>0</v>
      </c>
    </row>
    <row r="473" ht="15.75" customHeight="1">
      <c r="E473" s="39"/>
      <c r="F473" s="45"/>
      <c r="G473" s="44" t="str">
        <f>IFERROR(__xludf.DUMMYFUNCTION("IFERROR(GOOGLEFINANCE(B473,""price""),"""")"),"")</f>
        <v/>
      </c>
      <c r="H473" s="17"/>
      <c r="I473" s="45"/>
      <c r="J473" s="45"/>
      <c r="K473" s="39">
        <f t="shared" si="15"/>
        <v>0</v>
      </c>
      <c r="L473" s="39">
        <f t="shared" si="16"/>
        <v>0</v>
      </c>
      <c r="M473" s="5">
        <f t="shared" si="17"/>
        <v>0</v>
      </c>
    </row>
    <row r="474" ht="15.75" customHeight="1">
      <c r="E474" s="39"/>
      <c r="F474" s="45"/>
      <c r="G474" s="44" t="str">
        <f>IFERROR(__xludf.DUMMYFUNCTION("IFERROR(GOOGLEFINANCE(B474,""price""),"""")"),"")</f>
        <v/>
      </c>
      <c r="H474" s="17"/>
      <c r="I474" s="45"/>
      <c r="J474" s="45"/>
      <c r="K474" s="39">
        <f t="shared" si="15"/>
        <v>0</v>
      </c>
      <c r="L474" s="39">
        <f t="shared" si="16"/>
        <v>0</v>
      </c>
      <c r="M474" s="5">
        <f t="shared" si="17"/>
        <v>0</v>
      </c>
    </row>
    <row r="475" ht="15.75" customHeight="1">
      <c r="E475" s="39"/>
      <c r="F475" s="45"/>
      <c r="G475" s="44" t="str">
        <f>IFERROR(__xludf.DUMMYFUNCTION("IFERROR(GOOGLEFINANCE(B475,""price""),"""")"),"")</f>
        <v/>
      </c>
      <c r="H475" s="17"/>
      <c r="I475" s="45"/>
      <c r="J475" s="45"/>
      <c r="K475" s="39">
        <f t="shared" si="15"/>
        <v>0</v>
      </c>
      <c r="L475" s="39">
        <f t="shared" si="16"/>
        <v>0</v>
      </c>
      <c r="M475" s="5">
        <f t="shared" si="17"/>
        <v>0</v>
      </c>
    </row>
    <row r="476" ht="15.75" customHeight="1">
      <c r="E476" s="39"/>
      <c r="F476" s="45"/>
      <c r="G476" s="44" t="str">
        <f>IFERROR(__xludf.DUMMYFUNCTION("IFERROR(GOOGLEFINANCE(B476,""price""),"""")"),"")</f>
        <v/>
      </c>
      <c r="H476" s="17"/>
      <c r="I476" s="45"/>
      <c r="J476" s="45"/>
      <c r="K476" s="39">
        <f t="shared" si="15"/>
        <v>0</v>
      </c>
      <c r="L476" s="39">
        <f t="shared" si="16"/>
        <v>0</v>
      </c>
      <c r="M476" s="5">
        <f t="shared" si="17"/>
        <v>0</v>
      </c>
    </row>
    <row r="477" ht="15.75" customHeight="1">
      <c r="E477" s="39"/>
      <c r="F477" s="45"/>
      <c r="G477" s="44" t="str">
        <f>IFERROR(__xludf.DUMMYFUNCTION("IFERROR(GOOGLEFINANCE(B477,""price""),"""")"),"")</f>
        <v/>
      </c>
      <c r="H477" s="17"/>
      <c r="I477" s="45"/>
      <c r="J477" s="45"/>
      <c r="K477" s="39">
        <f t="shared" si="15"/>
        <v>0</v>
      </c>
      <c r="L477" s="39">
        <f t="shared" si="16"/>
        <v>0</v>
      </c>
      <c r="M477" s="5">
        <f t="shared" si="17"/>
        <v>0</v>
      </c>
    </row>
    <row r="478" ht="15.75" customHeight="1">
      <c r="E478" s="39"/>
      <c r="F478" s="45"/>
      <c r="G478" s="44" t="str">
        <f>IFERROR(__xludf.DUMMYFUNCTION("IFERROR(GOOGLEFINANCE(B478,""price""),"""")"),"")</f>
        <v/>
      </c>
      <c r="H478" s="17"/>
      <c r="I478" s="45"/>
      <c r="J478" s="45"/>
      <c r="K478" s="39">
        <f t="shared" si="15"/>
        <v>0</v>
      </c>
      <c r="L478" s="39">
        <f t="shared" si="16"/>
        <v>0</v>
      </c>
      <c r="M478" s="5">
        <f t="shared" si="17"/>
        <v>0</v>
      </c>
    </row>
    <row r="479" ht="15.75" customHeight="1">
      <c r="E479" s="39"/>
      <c r="F479" s="45"/>
      <c r="G479" s="44" t="str">
        <f>IFERROR(__xludf.DUMMYFUNCTION("IFERROR(GOOGLEFINANCE(B479,""price""),"""")"),"")</f>
        <v/>
      </c>
      <c r="H479" s="17"/>
      <c r="I479" s="45"/>
      <c r="J479" s="45"/>
      <c r="K479" s="39">
        <f t="shared" si="15"/>
        <v>0</v>
      </c>
      <c r="L479" s="39">
        <f t="shared" si="16"/>
        <v>0</v>
      </c>
      <c r="M479" s="5">
        <f t="shared" si="17"/>
        <v>0</v>
      </c>
    </row>
    <row r="480" ht="15.75" customHeight="1">
      <c r="E480" s="39"/>
      <c r="F480" s="45"/>
      <c r="G480" s="44" t="str">
        <f>IFERROR(__xludf.DUMMYFUNCTION("IFERROR(GOOGLEFINANCE(B480,""price""),"""")"),"")</f>
        <v/>
      </c>
      <c r="H480" s="17"/>
      <c r="I480" s="45"/>
      <c r="J480" s="45"/>
      <c r="K480" s="39">
        <f t="shared" si="15"/>
        <v>0</v>
      </c>
      <c r="L480" s="39">
        <f t="shared" si="16"/>
        <v>0</v>
      </c>
      <c r="M480" s="5">
        <f t="shared" si="17"/>
        <v>0</v>
      </c>
    </row>
    <row r="481" ht="15.75" customHeight="1">
      <c r="E481" s="39"/>
      <c r="F481" s="45"/>
      <c r="G481" s="44" t="str">
        <f>IFERROR(__xludf.DUMMYFUNCTION("IFERROR(GOOGLEFINANCE(B481,""price""),"""")"),"")</f>
        <v/>
      </c>
      <c r="H481" s="17"/>
      <c r="I481" s="45"/>
      <c r="J481" s="45"/>
      <c r="K481" s="39">
        <f t="shared" si="15"/>
        <v>0</v>
      </c>
      <c r="L481" s="39">
        <f t="shared" si="16"/>
        <v>0</v>
      </c>
      <c r="M481" s="5">
        <f t="shared" si="17"/>
        <v>0</v>
      </c>
    </row>
    <row r="482" ht="15.75" customHeight="1">
      <c r="E482" s="39"/>
      <c r="F482" s="45"/>
      <c r="G482" s="44" t="str">
        <f>IFERROR(__xludf.DUMMYFUNCTION("IFERROR(GOOGLEFINANCE(B482,""price""),"""")"),"")</f>
        <v/>
      </c>
      <c r="H482" s="17"/>
      <c r="I482" s="45"/>
      <c r="J482" s="45"/>
      <c r="K482" s="39">
        <f t="shared" si="15"/>
        <v>0</v>
      </c>
      <c r="L482" s="39">
        <f t="shared" si="16"/>
        <v>0</v>
      </c>
      <c r="M482" s="5">
        <f t="shared" si="17"/>
        <v>0</v>
      </c>
    </row>
    <row r="483" ht="15.75" customHeight="1">
      <c r="E483" s="39"/>
      <c r="F483" s="45"/>
      <c r="G483" s="44" t="str">
        <f>IFERROR(__xludf.DUMMYFUNCTION("IFERROR(GOOGLEFINANCE(B483,""price""),"""")"),"")</f>
        <v/>
      </c>
      <c r="H483" s="17"/>
      <c r="I483" s="45"/>
      <c r="J483" s="45"/>
      <c r="K483" s="39">
        <f t="shared" si="15"/>
        <v>0</v>
      </c>
      <c r="L483" s="39">
        <f t="shared" si="16"/>
        <v>0</v>
      </c>
      <c r="M483" s="5">
        <f t="shared" si="17"/>
        <v>0</v>
      </c>
    </row>
    <row r="484" ht="15.75" customHeight="1">
      <c r="E484" s="39"/>
      <c r="F484" s="45"/>
      <c r="G484" s="44" t="str">
        <f>IFERROR(__xludf.DUMMYFUNCTION("IFERROR(GOOGLEFINANCE(B484,""price""),"""")"),"")</f>
        <v/>
      </c>
      <c r="H484" s="17"/>
      <c r="I484" s="45"/>
      <c r="J484" s="45"/>
      <c r="K484" s="39">
        <f t="shared" si="15"/>
        <v>0</v>
      </c>
      <c r="L484" s="39">
        <f t="shared" si="16"/>
        <v>0</v>
      </c>
      <c r="M484" s="5">
        <f t="shared" si="17"/>
        <v>0</v>
      </c>
    </row>
    <row r="485" ht="15.75" customHeight="1">
      <c r="E485" s="39"/>
      <c r="F485" s="45"/>
      <c r="G485" s="44" t="str">
        <f>IFERROR(__xludf.DUMMYFUNCTION("IFERROR(GOOGLEFINANCE(B485,""price""),"""")"),"")</f>
        <v/>
      </c>
      <c r="H485" s="17"/>
      <c r="I485" s="45"/>
      <c r="J485" s="45"/>
      <c r="K485" s="39">
        <f t="shared" si="15"/>
        <v>0</v>
      </c>
      <c r="L485" s="39">
        <f t="shared" si="16"/>
        <v>0</v>
      </c>
      <c r="M485" s="5">
        <f t="shared" si="17"/>
        <v>0</v>
      </c>
    </row>
    <row r="486" ht="15.75" customHeight="1">
      <c r="E486" s="39"/>
      <c r="F486" s="45"/>
      <c r="G486" s="44" t="str">
        <f>IFERROR(__xludf.DUMMYFUNCTION("IFERROR(GOOGLEFINANCE(B486,""price""),"""")"),"")</f>
        <v/>
      </c>
      <c r="H486" s="17"/>
      <c r="I486" s="45"/>
      <c r="J486" s="45"/>
      <c r="K486" s="39">
        <f t="shared" si="15"/>
        <v>0</v>
      </c>
      <c r="L486" s="39">
        <f t="shared" si="16"/>
        <v>0</v>
      </c>
      <c r="M486" s="5">
        <f t="shared" si="17"/>
        <v>0</v>
      </c>
    </row>
    <row r="487" ht="15.75" customHeight="1">
      <c r="E487" s="39"/>
      <c r="F487" s="45"/>
      <c r="G487" s="44" t="str">
        <f>IFERROR(__xludf.DUMMYFUNCTION("IFERROR(GOOGLEFINANCE(B487,""price""),"""")"),"")</f>
        <v/>
      </c>
      <c r="H487" s="17"/>
      <c r="I487" s="45"/>
      <c r="J487" s="45"/>
      <c r="K487" s="39">
        <f t="shared" si="15"/>
        <v>0</v>
      </c>
      <c r="L487" s="39">
        <f t="shared" si="16"/>
        <v>0</v>
      </c>
      <c r="M487" s="5">
        <f t="shared" si="17"/>
        <v>0</v>
      </c>
    </row>
    <row r="488" ht="15.75" customHeight="1">
      <c r="E488" s="39"/>
      <c r="F488" s="45"/>
      <c r="G488" s="44" t="str">
        <f>IFERROR(__xludf.DUMMYFUNCTION("IFERROR(GOOGLEFINANCE(B488,""price""),"""")"),"")</f>
        <v/>
      </c>
      <c r="H488" s="17"/>
      <c r="I488" s="45"/>
      <c r="J488" s="45"/>
      <c r="K488" s="39">
        <f t="shared" si="15"/>
        <v>0</v>
      </c>
      <c r="L488" s="39">
        <f t="shared" si="16"/>
        <v>0</v>
      </c>
      <c r="M488" s="5">
        <f t="shared" si="17"/>
        <v>0</v>
      </c>
    </row>
    <row r="489" ht="15.75" customHeight="1">
      <c r="E489" s="39"/>
      <c r="F489" s="45"/>
      <c r="G489" s="44" t="str">
        <f>IFERROR(__xludf.DUMMYFUNCTION("IFERROR(GOOGLEFINANCE(B489,""price""),"""")"),"")</f>
        <v/>
      </c>
      <c r="H489" s="17"/>
      <c r="I489" s="45"/>
      <c r="J489" s="45"/>
      <c r="K489" s="39">
        <f t="shared" si="15"/>
        <v>0</v>
      </c>
      <c r="L489" s="39">
        <f t="shared" si="16"/>
        <v>0</v>
      </c>
      <c r="M489" s="5">
        <f t="shared" si="17"/>
        <v>0</v>
      </c>
    </row>
    <row r="490" ht="15.75" customHeight="1">
      <c r="E490" s="39"/>
      <c r="F490" s="45"/>
      <c r="G490" s="44" t="str">
        <f>IFERROR(__xludf.DUMMYFUNCTION("IFERROR(GOOGLEFINANCE(B490,""price""),"""")"),"")</f>
        <v/>
      </c>
      <c r="H490" s="17"/>
      <c r="I490" s="45"/>
      <c r="J490" s="45"/>
      <c r="K490" s="39">
        <f t="shared" si="15"/>
        <v>0</v>
      </c>
      <c r="L490" s="39">
        <f t="shared" si="16"/>
        <v>0</v>
      </c>
      <c r="M490" s="5">
        <f t="shared" si="17"/>
        <v>0</v>
      </c>
    </row>
    <row r="491" ht="15.75" customHeight="1">
      <c r="E491" s="39"/>
      <c r="F491" s="45"/>
      <c r="G491" s="44" t="str">
        <f>IFERROR(__xludf.DUMMYFUNCTION("IFERROR(GOOGLEFINANCE(B491,""price""),"""")"),"")</f>
        <v/>
      </c>
      <c r="H491" s="17"/>
      <c r="I491" s="45"/>
      <c r="J491" s="45"/>
      <c r="K491" s="39">
        <f t="shared" si="15"/>
        <v>0</v>
      </c>
      <c r="L491" s="39">
        <f t="shared" si="16"/>
        <v>0</v>
      </c>
      <c r="M491" s="5">
        <f t="shared" si="17"/>
        <v>0</v>
      </c>
    </row>
    <row r="492" ht="15.75" customHeight="1">
      <c r="E492" s="39"/>
      <c r="F492" s="45"/>
      <c r="G492" s="44" t="str">
        <f>IFERROR(__xludf.DUMMYFUNCTION("IFERROR(GOOGLEFINANCE(B492,""price""),"""")"),"")</f>
        <v/>
      </c>
      <c r="H492" s="17"/>
      <c r="I492" s="45"/>
      <c r="J492" s="45"/>
      <c r="K492" s="39">
        <f t="shared" si="15"/>
        <v>0</v>
      </c>
      <c r="L492" s="39">
        <f t="shared" si="16"/>
        <v>0</v>
      </c>
      <c r="M492" s="5">
        <f t="shared" si="17"/>
        <v>0</v>
      </c>
    </row>
    <row r="493" ht="15.75" customHeight="1">
      <c r="E493" s="39"/>
      <c r="F493" s="45"/>
      <c r="G493" s="44" t="str">
        <f>IFERROR(__xludf.DUMMYFUNCTION("IFERROR(GOOGLEFINANCE(B493,""price""),"""")"),"")</f>
        <v/>
      </c>
      <c r="H493" s="17"/>
      <c r="I493" s="45"/>
      <c r="J493" s="45"/>
      <c r="K493" s="39">
        <f t="shared" si="15"/>
        <v>0</v>
      </c>
      <c r="L493" s="39">
        <f t="shared" si="16"/>
        <v>0</v>
      </c>
      <c r="M493" s="5">
        <f t="shared" si="17"/>
        <v>0</v>
      </c>
    </row>
    <row r="494" ht="15.75" customHeight="1">
      <c r="E494" s="39"/>
      <c r="F494" s="45"/>
      <c r="G494" s="44" t="str">
        <f>IFERROR(__xludf.DUMMYFUNCTION("IFERROR(GOOGLEFINANCE(B494,""price""),"""")"),"")</f>
        <v/>
      </c>
      <c r="H494" s="17"/>
      <c r="I494" s="45"/>
      <c r="J494" s="45"/>
      <c r="K494" s="39">
        <f t="shared" si="15"/>
        <v>0</v>
      </c>
      <c r="L494" s="39">
        <f t="shared" si="16"/>
        <v>0</v>
      </c>
      <c r="M494" s="5">
        <f t="shared" si="17"/>
        <v>0</v>
      </c>
    </row>
    <row r="495" ht="15.75" customHeight="1">
      <c r="E495" s="39"/>
      <c r="F495" s="45"/>
      <c r="G495" s="44" t="str">
        <f>IFERROR(__xludf.DUMMYFUNCTION("IFERROR(GOOGLEFINANCE(B495,""price""),"""")"),"")</f>
        <v/>
      </c>
      <c r="H495" s="17"/>
      <c r="I495" s="45"/>
      <c r="J495" s="45"/>
      <c r="K495" s="39">
        <f t="shared" si="15"/>
        <v>0</v>
      </c>
      <c r="L495" s="39">
        <f t="shared" si="16"/>
        <v>0</v>
      </c>
      <c r="M495" s="5">
        <f t="shared" si="17"/>
        <v>0</v>
      </c>
    </row>
    <row r="496" ht="15.75" customHeight="1">
      <c r="E496" s="39"/>
      <c r="F496" s="45"/>
      <c r="G496" s="44" t="str">
        <f>IFERROR(__xludf.DUMMYFUNCTION("IFERROR(GOOGLEFINANCE(B496,""price""),"""")"),"")</f>
        <v/>
      </c>
      <c r="H496" s="17"/>
      <c r="I496" s="45"/>
      <c r="J496" s="45"/>
      <c r="K496" s="39">
        <f t="shared" si="15"/>
        <v>0</v>
      </c>
      <c r="L496" s="39">
        <f t="shared" si="16"/>
        <v>0</v>
      </c>
      <c r="M496" s="5">
        <f t="shared" si="17"/>
        <v>0</v>
      </c>
    </row>
    <row r="497" ht="15.75" customHeight="1">
      <c r="E497" s="39"/>
      <c r="F497" s="45"/>
      <c r="G497" s="44" t="str">
        <f>IFERROR(__xludf.DUMMYFUNCTION("IFERROR(GOOGLEFINANCE(B497,""price""),"""")"),"")</f>
        <v/>
      </c>
      <c r="H497" s="17"/>
      <c r="I497" s="45"/>
      <c r="J497" s="45"/>
      <c r="K497" s="39">
        <f t="shared" si="15"/>
        <v>0</v>
      </c>
      <c r="L497" s="39">
        <f t="shared" si="16"/>
        <v>0</v>
      </c>
      <c r="M497" s="5">
        <f t="shared" si="17"/>
        <v>0</v>
      </c>
    </row>
    <row r="498" ht="15.75" customHeight="1">
      <c r="E498" s="39"/>
      <c r="F498" s="45"/>
      <c r="G498" s="44" t="str">
        <f>IFERROR(__xludf.DUMMYFUNCTION("IFERROR(GOOGLEFINANCE(B498,""price""),"""")"),"")</f>
        <v/>
      </c>
      <c r="H498" s="17"/>
      <c r="I498" s="45"/>
      <c r="J498" s="45"/>
      <c r="K498" s="39">
        <f t="shared" si="15"/>
        <v>0</v>
      </c>
      <c r="L498" s="39">
        <f t="shared" si="16"/>
        <v>0</v>
      </c>
      <c r="M498" s="5">
        <f t="shared" si="17"/>
        <v>0</v>
      </c>
    </row>
    <row r="499" ht="15.75" customHeight="1">
      <c r="E499" s="39"/>
      <c r="F499" s="45"/>
      <c r="G499" s="44" t="str">
        <f>IFERROR(__xludf.DUMMYFUNCTION("IFERROR(GOOGLEFINANCE(B499,""price""),"""")"),"")</f>
        <v/>
      </c>
      <c r="H499" s="17"/>
      <c r="I499" s="45"/>
      <c r="J499" s="45"/>
      <c r="K499" s="39">
        <f t="shared" si="15"/>
        <v>0</v>
      </c>
      <c r="L499" s="39">
        <f t="shared" si="16"/>
        <v>0</v>
      </c>
      <c r="M499" s="5">
        <f t="shared" si="17"/>
        <v>0</v>
      </c>
    </row>
    <row r="500" ht="15.75" customHeight="1">
      <c r="E500" s="39"/>
      <c r="F500" s="45"/>
      <c r="G500" s="44" t="str">
        <f>IFERROR(__xludf.DUMMYFUNCTION("IFERROR(GOOGLEFINANCE(B500,""price""),"""")"),"")</f>
        <v/>
      </c>
      <c r="H500" s="17"/>
      <c r="I500" s="45"/>
      <c r="J500" s="45"/>
      <c r="K500" s="39">
        <f t="shared" si="15"/>
        <v>0</v>
      </c>
      <c r="L500" s="39">
        <f t="shared" si="16"/>
        <v>0</v>
      </c>
      <c r="M500" s="5">
        <f t="shared" si="17"/>
        <v>0</v>
      </c>
    </row>
    <row r="501" ht="15.75" customHeight="1">
      <c r="E501" s="39"/>
      <c r="F501" s="45"/>
      <c r="G501" s="44" t="str">
        <f>IFERROR(__xludf.DUMMYFUNCTION("IFERROR(GOOGLEFINANCE(B501,""price""),"""")"),"")</f>
        <v/>
      </c>
      <c r="H501" s="17"/>
      <c r="I501" s="45"/>
      <c r="J501" s="45"/>
      <c r="K501" s="39">
        <f t="shared" si="15"/>
        <v>0</v>
      </c>
      <c r="L501" s="39">
        <f t="shared" si="16"/>
        <v>0</v>
      </c>
      <c r="M501" s="5">
        <f t="shared" si="17"/>
        <v>0</v>
      </c>
    </row>
    <row r="502" ht="15.75" customHeight="1">
      <c r="E502" s="39"/>
      <c r="F502" s="45"/>
      <c r="G502" s="44" t="str">
        <f>IFERROR(__xludf.DUMMYFUNCTION("IFERROR(GOOGLEFINANCE(B502,""price""),"""")"),"")</f>
        <v/>
      </c>
      <c r="H502" s="17"/>
      <c r="I502" s="45"/>
      <c r="J502" s="45"/>
      <c r="K502" s="39">
        <f t="shared" si="15"/>
        <v>0</v>
      </c>
      <c r="L502" s="39">
        <f t="shared" si="16"/>
        <v>0</v>
      </c>
      <c r="M502" s="5">
        <f t="shared" si="17"/>
        <v>0</v>
      </c>
    </row>
    <row r="503" ht="15.75" customHeight="1">
      <c r="E503" s="39"/>
      <c r="F503" s="45"/>
      <c r="G503" s="44" t="str">
        <f>IFERROR(__xludf.DUMMYFUNCTION("IFERROR(GOOGLEFINANCE(B503,""price""),"""")"),"")</f>
        <v/>
      </c>
      <c r="H503" s="17"/>
      <c r="I503" s="45"/>
      <c r="J503" s="45"/>
      <c r="K503" s="39">
        <f t="shared" si="15"/>
        <v>0</v>
      </c>
      <c r="L503" s="39">
        <f t="shared" si="16"/>
        <v>0</v>
      </c>
      <c r="M503" s="5">
        <f t="shared" si="17"/>
        <v>0</v>
      </c>
    </row>
    <row r="504" ht="15.75" customHeight="1">
      <c r="E504" s="39"/>
      <c r="F504" s="45"/>
      <c r="G504" s="44" t="str">
        <f>IFERROR(__xludf.DUMMYFUNCTION("IFERROR(GOOGLEFINANCE(B504,""price""),"""")"),"")</f>
        <v/>
      </c>
      <c r="H504" s="17"/>
      <c r="I504" s="45"/>
      <c r="J504" s="45"/>
      <c r="K504" s="39">
        <f t="shared" si="15"/>
        <v>0</v>
      </c>
      <c r="L504" s="39">
        <f t="shared" si="16"/>
        <v>0</v>
      </c>
      <c r="M504" s="5">
        <f t="shared" si="17"/>
        <v>0</v>
      </c>
    </row>
    <row r="505" ht="15.75" customHeight="1">
      <c r="E505" s="39"/>
      <c r="F505" s="45"/>
      <c r="G505" s="44" t="str">
        <f>IFERROR(__xludf.DUMMYFUNCTION("IFERROR(GOOGLEFINANCE(B505,""price""),"""")"),"")</f>
        <v/>
      </c>
      <c r="H505" s="17"/>
      <c r="I505" s="45"/>
      <c r="J505" s="45"/>
      <c r="K505" s="39">
        <f t="shared" si="15"/>
        <v>0</v>
      </c>
      <c r="L505" s="39">
        <f t="shared" si="16"/>
        <v>0</v>
      </c>
      <c r="M505" s="5">
        <f t="shared" si="17"/>
        <v>0</v>
      </c>
    </row>
    <row r="506" ht="15.75" customHeight="1">
      <c r="E506" s="39"/>
      <c r="F506" s="45"/>
      <c r="G506" s="44" t="str">
        <f>IFERROR(__xludf.DUMMYFUNCTION("IFERROR(GOOGLEFINANCE(B506,""price""),"""")"),"")</f>
        <v/>
      </c>
      <c r="H506" s="17"/>
      <c r="I506" s="45"/>
      <c r="J506" s="45"/>
      <c r="K506" s="39">
        <f t="shared" si="15"/>
        <v>0</v>
      </c>
      <c r="L506" s="39">
        <f t="shared" si="16"/>
        <v>0</v>
      </c>
      <c r="M506" s="5">
        <f t="shared" si="17"/>
        <v>0</v>
      </c>
    </row>
    <row r="507" ht="15.75" customHeight="1">
      <c r="E507" s="39"/>
      <c r="F507" s="45"/>
      <c r="G507" s="44" t="str">
        <f>IFERROR(__xludf.DUMMYFUNCTION("IFERROR(GOOGLEFINANCE(B507,""price""),"""")"),"")</f>
        <v/>
      </c>
      <c r="H507" s="17"/>
      <c r="I507" s="45"/>
      <c r="J507" s="45"/>
      <c r="K507" s="39">
        <f t="shared" si="15"/>
        <v>0</v>
      </c>
      <c r="L507" s="39">
        <f t="shared" si="16"/>
        <v>0</v>
      </c>
      <c r="M507" s="5">
        <f t="shared" si="17"/>
        <v>0</v>
      </c>
    </row>
    <row r="508" ht="15.75" customHeight="1">
      <c r="E508" s="39"/>
      <c r="F508" s="45"/>
      <c r="G508" s="44" t="str">
        <f>IFERROR(__xludf.DUMMYFUNCTION("IFERROR(GOOGLEFINANCE(B508,""price""),"""")"),"")</f>
        <v/>
      </c>
      <c r="H508" s="17"/>
      <c r="I508" s="45"/>
      <c r="J508" s="45"/>
      <c r="K508" s="39">
        <f t="shared" si="15"/>
        <v>0</v>
      </c>
      <c r="L508" s="39">
        <f t="shared" si="16"/>
        <v>0</v>
      </c>
      <c r="M508" s="5">
        <f t="shared" si="17"/>
        <v>0</v>
      </c>
    </row>
    <row r="509" ht="15.75" customHeight="1">
      <c r="E509" s="39"/>
      <c r="F509" s="45"/>
      <c r="G509" s="44" t="str">
        <f>IFERROR(__xludf.DUMMYFUNCTION("IFERROR(GOOGLEFINANCE(B509,""price""),"""")"),"")</f>
        <v/>
      </c>
      <c r="H509" s="17"/>
      <c r="I509" s="45"/>
      <c r="J509" s="45"/>
      <c r="K509" s="39">
        <f t="shared" si="15"/>
        <v>0</v>
      </c>
      <c r="L509" s="39">
        <f t="shared" si="16"/>
        <v>0</v>
      </c>
      <c r="M509" s="5">
        <f t="shared" si="17"/>
        <v>0</v>
      </c>
    </row>
    <row r="510" ht="15.75" customHeight="1">
      <c r="E510" s="39"/>
      <c r="F510" s="45"/>
      <c r="G510" s="44" t="str">
        <f>IFERROR(__xludf.DUMMYFUNCTION("IFERROR(GOOGLEFINANCE(B510,""price""),"""")"),"")</f>
        <v/>
      </c>
      <c r="H510" s="17"/>
      <c r="I510" s="45"/>
      <c r="J510" s="45"/>
      <c r="K510" s="39">
        <f t="shared" si="15"/>
        <v>0</v>
      </c>
      <c r="L510" s="39">
        <f t="shared" si="16"/>
        <v>0</v>
      </c>
      <c r="M510" s="5">
        <f t="shared" si="17"/>
        <v>0</v>
      </c>
    </row>
    <row r="511" ht="15.75" customHeight="1">
      <c r="E511" s="39"/>
      <c r="F511" s="45"/>
      <c r="G511" s="44" t="str">
        <f>IFERROR(__xludf.DUMMYFUNCTION("IFERROR(GOOGLEFINANCE(B511,""price""),"""")"),"")</f>
        <v/>
      </c>
      <c r="H511" s="17"/>
      <c r="I511" s="45"/>
      <c r="J511" s="45"/>
      <c r="K511" s="39">
        <f t="shared" si="15"/>
        <v>0</v>
      </c>
      <c r="L511" s="39">
        <f t="shared" si="16"/>
        <v>0</v>
      </c>
      <c r="M511" s="5">
        <f t="shared" si="17"/>
        <v>0</v>
      </c>
    </row>
    <row r="512" ht="15.75" customHeight="1">
      <c r="E512" s="39"/>
      <c r="F512" s="45"/>
      <c r="G512" s="44" t="str">
        <f>IFERROR(__xludf.DUMMYFUNCTION("IFERROR(GOOGLEFINANCE(B512,""price""),"""")"),"")</f>
        <v/>
      </c>
      <c r="H512" s="17"/>
      <c r="I512" s="45"/>
      <c r="J512" s="45"/>
      <c r="K512" s="39">
        <f t="shared" si="15"/>
        <v>0</v>
      </c>
      <c r="L512" s="39">
        <f t="shared" si="16"/>
        <v>0</v>
      </c>
      <c r="M512" s="5">
        <f t="shared" si="17"/>
        <v>0</v>
      </c>
    </row>
    <row r="513" ht="15.75" customHeight="1">
      <c r="E513" s="39"/>
      <c r="F513" s="45"/>
      <c r="G513" s="44" t="str">
        <f>IFERROR(__xludf.DUMMYFUNCTION("IFERROR(GOOGLEFINANCE(B513,""price""),"""")"),"")</f>
        <v/>
      </c>
      <c r="H513" s="17"/>
      <c r="I513" s="45"/>
      <c r="J513" s="45"/>
      <c r="K513" s="39">
        <f t="shared" si="15"/>
        <v>0</v>
      </c>
      <c r="L513" s="39">
        <f t="shared" si="16"/>
        <v>0</v>
      </c>
      <c r="M513" s="5">
        <f t="shared" si="17"/>
        <v>0</v>
      </c>
    </row>
    <row r="514" ht="15.75" customHeight="1">
      <c r="E514" s="39"/>
      <c r="F514" s="45"/>
      <c r="G514" s="44" t="str">
        <f>IFERROR(__xludf.DUMMYFUNCTION("IFERROR(GOOGLEFINANCE(B514,""price""),"""")"),"")</f>
        <v/>
      </c>
      <c r="H514" s="17"/>
      <c r="I514" s="45"/>
      <c r="J514" s="45"/>
      <c r="K514" s="39">
        <f t="shared" si="15"/>
        <v>0</v>
      </c>
      <c r="L514" s="39">
        <f t="shared" si="16"/>
        <v>0</v>
      </c>
      <c r="M514" s="5">
        <f t="shared" si="17"/>
        <v>0</v>
      </c>
    </row>
    <row r="515" ht="15.75" customHeight="1">
      <c r="E515" s="39"/>
      <c r="F515" s="45"/>
      <c r="G515" s="44" t="str">
        <f>IFERROR(__xludf.DUMMYFUNCTION("IFERROR(GOOGLEFINANCE(B515,""price""),"""")"),"")</f>
        <v/>
      </c>
      <c r="H515" s="17"/>
      <c r="I515" s="45"/>
      <c r="J515" s="45"/>
      <c r="K515" s="39">
        <f t="shared" si="15"/>
        <v>0</v>
      </c>
      <c r="L515" s="39">
        <f t="shared" si="16"/>
        <v>0</v>
      </c>
      <c r="M515" s="5">
        <f t="shared" si="17"/>
        <v>0</v>
      </c>
    </row>
    <row r="516" ht="15.75" customHeight="1">
      <c r="E516" s="39"/>
      <c r="F516" s="45"/>
      <c r="G516" s="44" t="str">
        <f>IFERROR(__xludf.DUMMYFUNCTION("IFERROR(GOOGLEFINANCE(B516,""price""),"""")"),"")</f>
        <v/>
      </c>
      <c r="H516" s="17"/>
      <c r="I516" s="45"/>
      <c r="J516" s="45"/>
      <c r="K516" s="39">
        <f t="shared" si="15"/>
        <v>0</v>
      </c>
      <c r="L516" s="39">
        <f t="shared" si="16"/>
        <v>0</v>
      </c>
      <c r="M516" s="5">
        <f t="shared" si="17"/>
        <v>0</v>
      </c>
    </row>
    <row r="517" ht="15.75" customHeight="1">
      <c r="E517" s="39"/>
      <c r="F517" s="45"/>
      <c r="G517" s="44" t="str">
        <f>IFERROR(__xludf.DUMMYFUNCTION("IFERROR(GOOGLEFINANCE(B517,""price""),"""")"),"")</f>
        <v/>
      </c>
      <c r="H517" s="17"/>
      <c r="I517" s="45"/>
      <c r="J517" s="45"/>
      <c r="K517" s="39">
        <f t="shared" si="15"/>
        <v>0</v>
      </c>
      <c r="L517" s="39">
        <f t="shared" si="16"/>
        <v>0</v>
      </c>
      <c r="M517" s="5">
        <f t="shared" si="17"/>
        <v>0</v>
      </c>
    </row>
    <row r="518" ht="15.75" customHeight="1">
      <c r="E518" s="39"/>
      <c r="F518" s="45"/>
      <c r="G518" s="44" t="str">
        <f>IFERROR(__xludf.DUMMYFUNCTION("IFERROR(GOOGLEFINANCE(B518,""price""),"""")"),"")</f>
        <v/>
      </c>
      <c r="H518" s="17"/>
      <c r="I518" s="45"/>
      <c r="J518" s="45"/>
      <c r="K518" s="39">
        <f t="shared" si="15"/>
        <v>0</v>
      </c>
      <c r="L518" s="39">
        <f t="shared" si="16"/>
        <v>0</v>
      </c>
      <c r="M518" s="5">
        <f t="shared" si="17"/>
        <v>0</v>
      </c>
    </row>
    <row r="519" ht="15.75" customHeight="1">
      <c r="E519" s="39"/>
      <c r="F519" s="45"/>
      <c r="G519" s="44" t="str">
        <f>IFERROR(__xludf.DUMMYFUNCTION("IFERROR(GOOGLEFINANCE(B519,""price""),"""")"),"")</f>
        <v/>
      </c>
      <c r="H519" s="17"/>
      <c r="I519" s="45"/>
      <c r="J519" s="45"/>
      <c r="K519" s="39">
        <f t="shared" si="15"/>
        <v>0</v>
      </c>
      <c r="L519" s="39">
        <f t="shared" si="16"/>
        <v>0</v>
      </c>
      <c r="M519" s="5">
        <f t="shared" si="17"/>
        <v>0</v>
      </c>
    </row>
    <row r="520" ht="15.75" customHeight="1">
      <c r="E520" s="39"/>
      <c r="F520" s="45"/>
      <c r="G520" s="44" t="str">
        <f>IFERROR(__xludf.DUMMYFUNCTION("IFERROR(GOOGLEFINANCE(B520,""price""),"""")"),"")</f>
        <v/>
      </c>
      <c r="H520" s="17"/>
      <c r="I520" s="45"/>
      <c r="J520" s="45"/>
      <c r="K520" s="39">
        <f t="shared" si="15"/>
        <v>0</v>
      </c>
      <c r="L520" s="39">
        <f t="shared" si="16"/>
        <v>0</v>
      </c>
      <c r="M520" s="5">
        <f t="shared" si="17"/>
        <v>0</v>
      </c>
    </row>
    <row r="521" ht="15.75" customHeight="1">
      <c r="E521" s="39"/>
      <c r="F521" s="45"/>
      <c r="G521" s="44" t="str">
        <f>IFERROR(__xludf.DUMMYFUNCTION("IFERROR(GOOGLEFINANCE(B521,""price""),"""")"),"")</f>
        <v/>
      </c>
      <c r="H521" s="17"/>
      <c r="I521" s="45"/>
      <c r="J521" s="45"/>
      <c r="K521" s="39">
        <f t="shared" si="15"/>
        <v>0</v>
      </c>
      <c r="L521" s="39">
        <f t="shared" si="16"/>
        <v>0</v>
      </c>
      <c r="M521" s="5">
        <f t="shared" si="17"/>
        <v>0</v>
      </c>
    </row>
    <row r="522" ht="15.75" customHeight="1">
      <c r="E522" s="39"/>
      <c r="F522" s="45"/>
      <c r="G522" s="44" t="str">
        <f>IFERROR(__xludf.DUMMYFUNCTION("IFERROR(GOOGLEFINANCE(B522,""price""),"""")"),"")</f>
        <v/>
      </c>
      <c r="H522" s="17"/>
      <c r="I522" s="45"/>
      <c r="J522" s="45"/>
      <c r="K522" s="39">
        <f t="shared" si="15"/>
        <v>0</v>
      </c>
      <c r="L522" s="39">
        <f t="shared" si="16"/>
        <v>0</v>
      </c>
      <c r="M522" s="5">
        <f t="shared" si="17"/>
        <v>0</v>
      </c>
    </row>
    <row r="523" ht="15.75" customHeight="1">
      <c r="E523" s="39"/>
      <c r="F523" s="45"/>
      <c r="G523" s="44" t="str">
        <f>IFERROR(__xludf.DUMMYFUNCTION("IFERROR(GOOGLEFINANCE(B523,""price""),"""")"),"")</f>
        <v/>
      </c>
      <c r="H523" s="17"/>
      <c r="I523" s="45"/>
      <c r="J523" s="45"/>
      <c r="K523" s="39">
        <f t="shared" si="15"/>
        <v>0</v>
      </c>
      <c r="L523" s="39">
        <f t="shared" si="16"/>
        <v>0</v>
      </c>
      <c r="M523" s="5">
        <f t="shared" si="17"/>
        <v>0</v>
      </c>
    </row>
    <row r="524" ht="15.75" customHeight="1">
      <c r="E524" s="39"/>
      <c r="F524" s="45"/>
      <c r="G524" s="44" t="str">
        <f>IFERROR(__xludf.DUMMYFUNCTION("IFERROR(GOOGLEFINANCE(B524,""price""),"""")"),"")</f>
        <v/>
      </c>
      <c r="H524" s="17"/>
      <c r="I524" s="45"/>
      <c r="J524" s="45"/>
      <c r="K524" s="39">
        <f t="shared" si="15"/>
        <v>0</v>
      </c>
      <c r="L524" s="39">
        <f t="shared" si="16"/>
        <v>0</v>
      </c>
      <c r="M524" s="5">
        <f t="shared" si="17"/>
        <v>0</v>
      </c>
    </row>
    <row r="525" ht="15.75" customHeight="1">
      <c r="E525" s="39"/>
      <c r="F525" s="45"/>
      <c r="G525" s="44" t="str">
        <f>IFERROR(__xludf.DUMMYFUNCTION("IFERROR(GOOGLEFINANCE(B525,""price""),"""")"),"")</f>
        <v/>
      </c>
      <c r="H525" s="17"/>
      <c r="I525" s="45"/>
      <c r="J525" s="45"/>
      <c r="K525" s="39">
        <f t="shared" si="15"/>
        <v>0</v>
      </c>
      <c r="L525" s="39">
        <f t="shared" si="16"/>
        <v>0</v>
      </c>
      <c r="M525" s="5">
        <f t="shared" si="17"/>
        <v>0</v>
      </c>
    </row>
    <row r="526" ht="15.75" customHeight="1">
      <c r="E526" s="39"/>
      <c r="F526" s="45"/>
      <c r="G526" s="44" t="str">
        <f>IFERROR(__xludf.DUMMYFUNCTION("IFERROR(GOOGLEFINANCE(B526,""price""),"""")"),"")</f>
        <v/>
      </c>
      <c r="H526" s="17"/>
      <c r="I526" s="45"/>
      <c r="J526" s="45"/>
      <c r="K526" s="39">
        <f t="shared" si="15"/>
        <v>0</v>
      </c>
      <c r="L526" s="39">
        <f t="shared" si="16"/>
        <v>0</v>
      </c>
      <c r="M526" s="5">
        <f t="shared" si="17"/>
        <v>0</v>
      </c>
    </row>
    <row r="527" ht="15.75" customHeight="1">
      <c r="E527" s="39"/>
      <c r="F527" s="45"/>
      <c r="G527" s="44" t="str">
        <f>IFERROR(__xludf.DUMMYFUNCTION("IFERROR(GOOGLEFINANCE(B527,""price""),"""")"),"")</f>
        <v/>
      </c>
      <c r="H527" s="17"/>
      <c r="I527" s="45"/>
      <c r="J527" s="45"/>
      <c r="K527" s="39">
        <f t="shared" si="15"/>
        <v>0</v>
      </c>
      <c r="L527" s="39">
        <f t="shared" si="16"/>
        <v>0</v>
      </c>
      <c r="M527" s="5">
        <f t="shared" si="17"/>
        <v>0</v>
      </c>
    </row>
    <row r="528" ht="15.75" customHeight="1">
      <c r="E528" s="39"/>
      <c r="F528" s="45"/>
      <c r="G528" s="44" t="str">
        <f>IFERROR(__xludf.DUMMYFUNCTION("IFERROR(GOOGLEFINANCE(B528,""price""),"""")"),"")</f>
        <v/>
      </c>
      <c r="H528" s="17"/>
      <c r="I528" s="45"/>
      <c r="J528" s="45"/>
      <c r="K528" s="39">
        <f t="shared" si="15"/>
        <v>0</v>
      </c>
      <c r="L528" s="39">
        <f t="shared" si="16"/>
        <v>0</v>
      </c>
      <c r="M528" s="5">
        <f t="shared" si="17"/>
        <v>0</v>
      </c>
    </row>
    <row r="529" ht="15.75" customHeight="1">
      <c r="E529" s="39"/>
      <c r="F529" s="45"/>
      <c r="G529" s="44"/>
      <c r="H529" s="17"/>
      <c r="I529" s="45"/>
      <c r="J529" s="45"/>
      <c r="K529" s="39">
        <f t="shared" si="15"/>
        <v>0</v>
      </c>
      <c r="L529" s="39">
        <f t="shared" si="16"/>
        <v>0</v>
      </c>
      <c r="M529" s="5">
        <f t="shared" si="17"/>
        <v>0</v>
      </c>
    </row>
    <row r="530" ht="15.75" customHeight="1">
      <c r="E530" s="39"/>
      <c r="F530" s="45"/>
      <c r="G530" s="44"/>
      <c r="H530" s="17"/>
      <c r="I530" s="45"/>
      <c r="J530" s="45"/>
      <c r="K530" s="39">
        <f t="shared" si="15"/>
        <v>0</v>
      </c>
      <c r="L530" s="39">
        <f t="shared" si="16"/>
        <v>0</v>
      </c>
      <c r="M530" s="5">
        <f t="shared" si="17"/>
        <v>0</v>
      </c>
    </row>
    <row r="531" ht="15.75" customHeight="1">
      <c r="E531" s="39"/>
      <c r="F531" s="45"/>
      <c r="G531" s="44"/>
      <c r="H531" s="17"/>
      <c r="I531" s="45"/>
      <c r="J531" s="45"/>
      <c r="K531" s="39">
        <f t="shared" si="15"/>
        <v>0</v>
      </c>
      <c r="L531" s="39">
        <f t="shared" si="16"/>
        <v>0</v>
      </c>
      <c r="M531" s="5">
        <f t="shared" si="17"/>
        <v>0</v>
      </c>
    </row>
    <row r="532" ht="15.75" customHeight="1">
      <c r="E532" s="39"/>
      <c r="F532" s="45"/>
      <c r="G532" s="44"/>
      <c r="H532" s="17"/>
      <c r="I532" s="45"/>
      <c r="J532" s="45"/>
      <c r="K532" s="39">
        <f t="shared" si="15"/>
        <v>0</v>
      </c>
      <c r="L532" s="39">
        <f t="shared" si="16"/>
        <v>0</v>
      </c>
      <c r="M532" s="5">
        <f t="shared" si="17"/>
        <v>0</v>
      </c>
    </row>
    <row r="533" ht="15.75" customHeight="1">
      <c r="E533" s="39"/>
      <c r="F533" s="45"/>
      <c r="G533" s="44"/>
      <c r="H533" s="17"/>
      <c r="I533" s="45"/>
      <c r="J533" s="45"/>
      <c r="K533" s="39">
        <f t="shared" si="15"/>
        <v>0</v>
      </c>
      <c r="L533" s="39">
        <f t="shared" si="16"/>
        <v>0</v>
      </c>
      <c r="M533" s="5">
        <f t="shared" si="17"/>
        <v>0</v>
      </c>
    </row>
    <row r="534" ht="15.75" customHeight="1">
      <c r="E534" s="39"/>
      <c r="F534" s="45"/>
      <c r="G534" s="44"/>
      <c r="H534" s="17"/>
      <c r="I534" s="45"/>
      <c r="J534" s="45"/>
      <c r="K534" s="39">
        <f t="shared" si="15"/>
        <v>0</v>
      </c>
      <c r="L534" s="39">
        <f t="shared" si="16"/>
        <v>0</v>
      </c>
      <c r="M534" s="5">
        <f t="shared" si="17"/>
        <v>0</v>
      </c>
    </row>
    <row r="535" ht="15.75" customHeight="1">
      <c r="E535" s="39"/>
      <c r="F535" s="45"/>
      <c r="G535" s="44"/>
      <c r="H535" s="17"/>
      <c r="I535" s="45"/>
      <c r="J535" s="45"/>
      <c r="K535" s="39">
        <f t="shared" si="15"/>
        <v>0</v>
      </c>
      <c r="L535" s="39">
        <f t="shared" si="16"/>
        <v>0</v>
      </c>
      <c r="M535" s="5">
        <f t="shared" si="17"/>
        <v>0</v>
      </c>
    </row>
    <row r="536" ht="15.75" customHeight="1">
      <c r="E536" s="39"/>
      <c r="F536" s="45"/>
      <c r="G536" s="44"/>
      <c r="H536" s="17"/>
      <c r="I536" s="45"/>
      <c r="J536" s="45"/>
      <c r="K536" s="39">
        <f t="shared" si="15"/>
        <v>0</v>
      </c>
      <c r="L536" s="39">
        <f t="shared" si="16"/>
        <v>0</v>
      </c>
      <c r="M536" s="5">
        <f t="shared" si="17"/>
        <v>0</v>
      </c>
    </row>
    <row r="537" ht="15.75" customHeight="1">
      <c r="E537" s="39"/>
      <c r="F537" s="45"/>
      <c r="G537" s="44"/>
      <c r="H537" s="17"/>
      <c r="I537" s="45"/>
      <c r="J537" s="45"/>
      <c r="K537" s="39">
        <f t="shared" si="15"/>
        <v>0</v>
      </c>
      <c r="L537" s="39">
        <f t="shared" si="16"/>
        <v>0</v>
      </c>
      <c r="M537" s="5">
        <f t="shared" si="17"/>
        <v>0</v>
      </c>
    </row>
    <row r="538" ht="15.75" customHeight="1">
      <c r="E538" s="39"/>
      <c r="F538" s="45"/>
      <c r="G538" s="44"/>
      <c r="H538" s="17"/>
      <c r="I538" s="45"/>
      <c r="J538" s="45"/>
      <c r="K538" s="39">
        <f t="shared" si="15"/>
        <v>0</v>
      </c>
      <c r="L538" s="39">
        <f t="shared" si="16"/>
        <v>0</v>
      </c>
      <c r="M538" s="5">
        <f t="shared" si="17"/>
        <v>0</v>
      </c>
    </row>
    <row r="539" ht="15.75" customHeight="1">
      <c r="E539" s="39"/>
      <c r="F539" s="45"/>
      <c r="G539" s="44"/>
      <c r="H539" s="17"/>
      <c r="I539" s="45"/>
      <c r="J539" s="45"/>
      <c r="K539" s="39">
        <f t="shared" si="15"/>
        <v>0</v>
      </c>
      <c r="L539" s="39">
        <f t="shared" si="16"/>
        <v>0</v>
      </c>
      <c r="M539" s="5">
        <f t="shared" si="17"/>
        <v>0</v>
      </c>
    </row>
    <row r="540" ht="15.75" customHeight="1">
      <c r="E540" s="39"/>
      <c r="F540" s="45"/>
      <c r="G540" s="44"/>
      <c r="H540" s="17"/>
      <c r="I540" s="45"/>
      <c r="J540" s="45"/>
      <c r="K540" s="39">
        <f t="shared" si="15"/>
        <v>0</v>
      </c>
      <c r="L540" s="39">
        <f t="shared" si="16"/>
        <v>0</v>
      </c>
      <c r="M540" s="5">
        <f t="shared" si="17"/>
        <v>0</v>
      </c>
    </row>
    <row r="541" ht="15.75" customHeight="1">
      <c r="E541" s="39"/>
      <c r="F541" s="45"/>
      <c r="G541" s="44"/>
      <c r="H541" s="17"/>
      <c r="I541" s="45"/>
      <c r="J541" s="45"/>
      <c r="K541" s="39">
        <f t="shared" si="15"/>
        <v>0</v>
      </c>
      <c r="L541" s="39">
        <f t="shared" si="16"/>
        <v>0</v>
      </c>
      <c r="M541" s="5">
        <f t="shared" si="17"/>
        <v>0</v>
      </c>
    </row>
    <row r="542" ht="15.75" customHeight="1">
      <c r="E542" s="39"/>
      <c r="F542" s="45"/>
      <c r="G542" s="44"/>
      <c r="H542" s="17"/>
      <c r="I542" s="45"/>
      <c r="J542" s="45"/>
      <c r="K542" s="39">
        <f t="shared" si="15"/>
        <v>0</v>
      </c>
      <c r="L542" s="39">
        <f t="shared" si="16"/>
        <v>0</v>
      </c>
      <c r="M542" s="5">
        <f t="shared" si="17"/>
        <v>0</v>
      </c>
    </row>
    <row r="543" ht="15.75" customHeight="1">
      <c r="E543" s="39"/>
      <c r="F543" s="45"/>
      <c r="G543" s="44"/>
      <c r="H543" s="17"/>
      <c r="I543" s="45"/>
      <c r="J543" s="45"/>
      <c r="K543" s="39">
        <f t="shared" si="15"/>
        <v>0</v>
      </c>
      <c r="L543" s="39">
        <f t="shared" si="16"/>
        <v>0</v>
      </c>
      <c r="M543" s="5">
        <f t="shared" si="17"/>
        <v>0</v>
      </c>
    </row>
    <row r="544" ht="15.75" customHeight="1">
      <c r="E544" s="39"/>
      <c r="F544" s="45"/>
      <c r="G544" s="44"/>
      <c r="H544" s="17"/>
      <c r="I544" s="45"/>
      <c r="J544" s="45"/>
      <c r="K544" s="39">
        <f t="shared" si="15"/>
        <v>0</v>
      </c>
      <c r="L544" s="39">
        <f t="shared" si="16"/>
        <v>0</v>
      </c>
      <c r="M544" s="5">
        <f t="shared" si="17"/>
        <v>0</v>
      </c>
    </row>
    <row r="545" ht="15.75" customHeight="1">
      <c r="E545" s="39"/>
      <c r="F545" s="45"/>
      <c r="G545" s="44"/>
      <c r="H545" s="17"/>
      <c r="I545" s="45"/>
      <c r="J545" s="45"/>
      <c r="K545" s="39">
        <f t="shared" si="15"/>
        <v>0</v>
      </c>
      <c r="L545" s="39">
        <f t="shared" si="16"/>
        <v>0</v>
      </c>
      <c r="M545" s="5">
        <f t="shared" si="17"/>
        <v>0</v>
      </c>
    </row>
    <row r="546" ht="15.75" customHeight="1">
      <c r="E546" s="39"/>
      <c r="F546" s="45"/>
      <c r="G546" s="44"/>
      <c r="H546" s="17"/>
      <c r="I546" s="45"/>
      <c r="J546" s="45"/>
      <c r="K546" s="39">
        <f t="shared" si="15"/>
        <v>0</v>
      </c>
      <c r="L546" s="39">
        <f t="shared" si="16"/>
        <v>0</v>
      </c>
      <c r="M546" s="5">
        <f t="shared" si="17"/>
        <v>0</v>
      </c>
    </row>
    <row r="547" ht="15.75" customHeight="1">
      <c r="E547" s="39"/>
      <c r="F547" s="45"/>
      <c r="G547" s="44"/>
      <c r="H547" s="17"/>
      <c r="I547" s="45"/>
      <c r="J547" s="45"/>
      <c r="K547" s="39">
        <f t="shared" si="15"/>
        <v>0</v>
      </c>
      <c r="L547" s="39">
        <f t="shared" si="16"/>
        <v>0</v>
      </c>
      <c r="M547" s="5">
        <f t="shared" si="17"/>
        <v>0</v>
      </c>
    </row>
    <row r="548" ht="15.75" customHeight="1">
      <c r="E548" s="39"/>
      <c r="F548" s="45"/>
      <c r="G548" s="44"/>
      <c r="H548" s="17"/>
      <c r="I548" s="45"/>
      <c r="J548" s="45"/>
      <c r="K548" s="39">
        <f t="shared" si="15"/>
        <v>0</v>
      </c>
      <c r="L548" s="39">
        <f t="shared" si="16"/>
        <v>0</v>
      </c>
      <c r="M548" s="5">
        <f t="shared" si="17"/>
        <v>0</v>
      </c>
    </row>
    <row r="549" ht="15.75" customHeight="1">
      <c r="E549" s="39"/>
      <c r="F549" s="45"/>
      <c r="G549" s="44"/>
      <c r="H549" s="17"/>
      <c r="I549" s="45"/>
      <c r="J549" s="45"/>
      <c r="K549" s="39">
        <f t="shared" si="15"/>
        <v>0</v>
      </c>
      <c r="L549" s="39">
        <f t="shared" si="16"/>
        <v>0</v>
      </c>
      <c r="M549" s="5">
        <f t="shared" si="17"/>
        <v>0</v>
      </c>
    </row>
    <row r="550" ht="15.75" customHeight="1">
      <c r="E550" s="39"/>
      <c r="F550" s="45"/>
      <c r="G550" s="44"/>
      <c r="H550" s="17"/>
      <c r="I550" s="45"/>
      <c r="J550" s="45"/>
      <c r="K550" s="39">
        <f t="shared" si="15"/>
        <v>0</v>
      </c>
      <c r="L550" s="39">
        <f t="shared" si="16"/>
        <v>0</v>
      </c>
      <c r="M550" s="5">
        <f t="shared" si="17"/>
        <v>0</v>
      </c>
    </row>
    <row r="551" ht="15.75" customHeight="1">
      <c r="E551" s="39"/>
      <c r="F551" s="45"/>
      <c r="G551" s="44"/>
      <c r="H551" s="17"/>
      <c r="I551" s="45"/>
      <c r="J551" s="45"/>
      <c r="K551" s="39">
        <f t="shared" si="15"/>
        <v>0</v>
      </c>
      <c r="L551" s="39">
        <f t="shared" si="16"/>
        <v>0</v>
      </c>
      <c r="M551" s="5">
        <f t="shared" si="17"/>
        <v>0</v>
      </c>
    </row>
    <row r="552" ht="15.75" customHeight="1">
      <c r="E552" s="39"/>
      <c r="F552" s="45"/>
      <c r="G552" s="44"/>
      <c r="H552" s="17"/>
      <c r="I552" s="45"/>
      <c r="J552" s="45"/>
      <c r="K552" s="39">
        <f t="shared" si="15"/>
        <v>0</v>
      </c>
      <c r="L552" s="39">
        <f t="shared" si="16"/>
        <v>0</v>
      </c>
      <c r="M552" s="5">
        <f t="shared" si="17"/>
        <v>0</v>
      </c>
    </row>
    <row r="553" ht="15.75" customHeight="1">
      <c r="E553" s="39"/>
      <c r="F553" s="45"/>
      <c r="G553" s="44"/>
      <c r="H553" s="17"/>
      <c r="I553" s="45"/>
      <c r="J553" s="45"/>
      <c r="K553" s="39">
        <f t="shared" si="15"/>
        <v>0</v>
      </c>
      <c r="L553" s="39">
        <f t="shared" si="16"/>
        <v>0</v>
      </c>
      <c r="M553" s="5">
        <f t="shared" si="17"/>
        <v>0</v>
      </c>
    </row>
    <row r="554" ht="15.75" customHeight="1">
      <c r="E554" s="39"/>
      <c r="F554" s="45"/>
      <c r="G554" s="44"/>
      <c r="H554" s="17"/>
      <c r="I554" s="45"/>
      <c r="J554" s="45"/>
      <c r="K554" s="39">
        <f t="shared" si="15"/>
        <v>0</v>
      </c>
      <c r="L554" s="39">
        <f t="shared" si="16"/>
        <v>0</v>
      </c>
      <c r="M554" s="5">
        <f t="shared" si="17"/>
        <v>0</v>
      </c>
    </row>
    <row r="555" ht="15.75" customHeight="1">
      <c r="E555" s="39"/>
      <c r="F555" s="45"/>
      <c r="G555" s="44"/>
      <c r="H555" s="17"/>
      <c r="I555" s="45"/>
      <c r="J555" s="45"/>
      <c r="K555" s="39">
        <f t="shared" si="15"/>
        <v>0</v>
      </c>
      <c r="L555" s="39">
        <f t="shared" si="16"/>
        <v>0</v>
      </c>
      <c r="M555" s="5">
        <f t="shared" si="17"/>
        <v>0</v>
      </c>
    </row>
    <row r="556" ht="15.75" customHeight="1">
      <c r="E556" s="39"/>
      <c r="F556" s="45"/>
      <c r="G556" s="44"/>
      <c r="H556" s="17"/>
      <c r="I556" s="45"/>
      <c r="J556" s="45"/>
      <c r="K556" s="39">
        <f t="shared" si="15"/>
        <v>0</v>
      </c>
      <c r="L556" s="39">
        <f t="shared" si="16"/>
        <v>0</v>
      </c>
      <c r="M556" s="5">
        <f t="shared" si="17"/>
        <v>0</v>
      </c>
    </row>
    <row r="557" ht="15.75" customHeight="1">
      <c r="E557" s="39"/>
      <c r="F557" s="45"/>
      <c r="G557" s="44"/>
      <c r="H557" s="17"/>
      <c r="I557" s="45"/>
      <c r="J557" s="45"/>
      <c r="K557" s="39">
        <f t="shared" si="15"/>
        <v>0</v>
      </c>
      <c r="L557" s="39">
        <f t="shared" si="16"/>
        <v>0</v>
      </c>
      <c r="M557" s="5">
        <f t="shared" si="17"/>
        <v>0</v>
      </c>
    </row>
    <row r="558" ht="15.75" customHeight="1">
      <c r="E558" s="39"/>
      <c r="F558" s="45"/>
      <c r="G558" s="44"/>
      <c r="H558" s="17"/>
      <c r="I558" s="45"/>
      <c r="J558" s="45"/>
      <c r="K558" s="39">
        <f t="shared" si="15"/>
        <v>0</v>
      </c>
      <c r="L558" s="39">
        <f t="shared" si="16"/>
        <v>0</v>
      </c>
      <c r="M558" s="5">
        <f t="shared" si="17"/>
        <v>0</v>
      </c>
    </row>
    <row r="559" ht="15.75" customHeight="1">
      <c r="E559" s="39"/>
      <c r="F559" s="45"/>
      <c r="G559" s="44"/>
      <c r="H559" s="17"/>
      <c r="I559" s="45"/>
      <c r="J559" s="45"/>
      <c r="K559" s="39">
        <f t="shared" si="15"/>
        <v>0</v>
      </c>
      <c r="L559" s="39">
        <f t="shared" si="16"/>
        <v>0</v>
      </c>
      <c r="M559" s="5">
        <f t="shared" si="17"/>
        <v>0</v>
      </c>
    </row>
    <row r="560" ht="15.75" customHeight="1">
      <c r="E560" s="39"/>
      <c r="F560" s="45"/>
      <c r="G560" s="44"/>
      <c r="H560" s="17"/>
      <c r="I560" s="45"/>
      <c r="J560" s="45"/>
      <c r="K560" s="39">
        <f t="shared" si="15"/>
        <v>0</v>
      </c>
      <c r="L560" s="39">
        <f t="shared" si="16"/>
        <v>0</v>
      </c>
      <c r="M560" s="5">
        <f t="shared" si="17"/>
        <v>0</v>
      </c>
    </row>
    <row r="561" ht="15.75" customHeight="1">
      <c r="E561" s="39"/>
      <c r="F561" s="45"/>
      <c r="G561" s="44"/>
      <c r="H561" s="17"/>
      <c r="I561" s="45"/>
      <c r="J561" s="45"/>
      <c r="K561" s="39">
        <f t="shared" si="15"/>
        <v>0</v>
      </c>
      <c r="L561" s="39">
        <f t="shared" si="16"/>
        <v>0</v>
      </c>
      <c r="M561" s="5">
        <f t="shared" si="17"/>
        <v>0</v>
      </c>
    </row>
    <row r="562" ht="15.75" customHeight="1">
      <c r="E562" s="39"/>
      <c r="F562" s="45"/>
      <c r="G562" s="44"/>
      <c r="H562" s="17"/>
      <c r="I562" s="45"/>
      <c r="J562" s="45"/>
      <c r="K562" s="39">
        <f t="shared" si="15"/>
        <v>0</v>
      </c>
      <c r="L562" s="39">
        <f t="shared" si="16"/>
        <v>0</v>
      </c>
      <c r="M562" s="5">
        <f t="shared" si="17"/>
        <v>0</v>
      </c>
    </row>
    <row r="563" ht="15.75" customHeight="1">
      <c r="E563" s="39"/>
      <c r="F563" s="45"/>
      <c r="G563" s="44"/>
      <c r="H563" s="17"/>
      <c r="I563" s="45"/>
      <c r="J563" s="45"/>
      <c r="K563" s="39">
        <f t="shared" si="15"/>
        <v>0</v>
      </c>
      <c r="L563" s="39">
        <f t="shared" si="16"/>
        <v>0</v>
      </c>
      <c r="M563" s="5">
        <f t="shared" si="17"/>
        <v>0</v>
      </c>
    </row>
    <row r="564" ht="15.75" customHeight="1">
      <c r="E564" s="39"/>
      <c r="F564" s="45"/>
      <c r="G564" s="44"/>
      <c r="H564" s="17"/>
      <c r="I564" s="45"/>
      <c r="J564" s="45"/>
      <c r="K564" s="39">
        <f t="shared" si="15"/>
        <v>0</v>
      </c>
      <c r="L564" s="39">
        <f t="shared" si="16"/>
        <v>0</v>
      </c>
      <c r="M564" s="5">
        <f t="shared" si="17"/>
        <v>0</v>
      </c>
    </row>
    <row r="565" ht="15.75" customHeight="1">
      <c r="E565" s="39"/>
      <c r="F565" s="45"/>
      <c r="G565" s="44"/>
      <c r="H565" s="17"/>
      <c r="I565" s="45"/>
      <c r="J565" s="45"/>
      <c r="K565" s="39">
        <f t="shared" si="15"/>
        <v>0</v>
      </c>
      <c r="L565" s="39">
        <f t="shared" si="16"/>
        <v>0</v>
      </c>
      <c r="M565" s="5">
        <f t="shared" si="17"/>
        <v>0</v>
      </c>
    </row>
    <row r="566" ht="15.75" customHeight="1">
      <c r="E566" s="39"/>
      <c r="F566" s="45"/>
      <c r="G566" s="44"/>
      <c r="H566" s="17"/>
      <c r="I566" s="45"/>
      <c r="J566" s="45"/>
      <c r="K566" s="39">
        <f t="shared" si="15"/>
        <v>0</v>
      </c>
      <c r="L566" s="39">
        <f t="shared" si="16"/>
        <v>0</v>
      </c>
      <c r="M566" s="5">
        <f t="shared" si="17"/>
        <v>0</v>
      </c>
    </row>
    <row r="567" ht="15.75" customHeight="1">
      <c r="E567" s="39"/>
      <c r="F567" s="45"/>
      <c r="G567" s="44"/>
      <c r="H567" s="17"/>
      <c r="I567" s="45"/>
      <c r="J567" s="45"/>
      <c r="K567" s="39">
        <f t="shared" si="15"/>
        <v>0</v>
      </c>
      <c r="L567" s="39">
        <f t="shared" si="16"/>
        <v>0</v>
      </c>
      <c r="M567" s="5">
        <f t="shared" si="17"/>
        <v>0</v>
      </c>
    </row>
    <row r="568" ht="15.75" customHeight="1">
      <c r="E568" s="39"/>
      <c r="F568" s="45"/>
      <c r="G568" s="44"/>
      <c r="H568" s="17"/>
      <c r="I568" s="45"/>
      <c r="J568" s="45"/>
      <c r="K568" s="39">
        <f t="shared" si="15"/>
        <v>0</v>
      </c>
      <c r="L568" s="39">
        <f t="shared" si="16"/>
        <v>0</v>
      </c>
      <c r="M568" s="5">
        <f t="shared" si="17"/>
        <v>0</v>
      </c>
    </row>
    <row r="569" ht="15.75" customHeight="1">
      <c r="E569" s="39"/>
      <c r="F569" s="45"/>
      <c r="G569" s="44"/>
      <c r="H569" s="17"/>
      <c r="I569" s="45"/>
      <c r="J569" s="45"/>
      <c r="K569" s="39">
        <f t="shared" si="15"/>
        <v>0</v>
      </c>
      <c r="L569" s="39">
        <f t="shared" si="16"/>
        <v>0</v>
      </c>
      <c r="M569" s="5">
        <f t="shared" si="17"/>
        <v>0</v>
      </c>
    </row>
    <row r="570" ht="15.75" customHeight="1">
      <c r="E570" s="39"/>
      <c r="F570" s="45"/>
      <c r="G570" s="44"/>
      <c r="H570" s="17"/>
      <c r="I570" s="45"/>
      <c r="J570" s="45"/>
      <c r="K570" s="39">
        <f t="shared" si="15"/>
        <v>0</v>
      </c>
      <c r="L570" s="39">
        <f t="shared" si="16"/>
        <v>0</v>
      </c>
      <c r="M570" s="5">
        <f t="shared" si="17"/>
        <v>0</v>
      </c>
    </row>
    <row r="571" ht="15.75" customHeight="1">
      <c r="E571" s="39"/>
      <c r="F571" s="45"/>
      <c r="G571" s="44"/>
      <c r="H571" s="17"/>
      <c r="I571" s="45"/>
      <c r="J571" s="45"/>
      <c r="K571" s="39">
        <f t="shared" si="15"/>
        <v>0</v>
      </c>
      <c r="L571" s="39">
        <f t="shared" si="16"/>
        <v>0</v>
      </c>
      <c r="M571" s="5">
        <f t="shared" si="17"/>
        <v>0</v>
      </c>
    </row>
    <row r="572" ht="15.75" customHeight="1">
      <c r="E572" s="39"/>
      <c r="F572" s="45"/>
      <c r="G572" s="44"/>
      <c r="H572" s="17"/>
      <c r="I572" s="45"/>
      <c r="J572" s="45"/>
      <c r="K572" s="39">
        <f t="shared" si="15"/>
        <v>0</v>
      </c>
      <c r="L572" s="39">
        <f t="shared" si="16"/>
        <v>0</v>
      </c>
      <c r="M572" s="5">
        <f t="shared" si="17"/>
        <v>0</v>
      </c>
    </row>
    <row r="573" ht="15.75" customHeight="1">
      <c r="E573" s="39"/>
      <c r="F573" s="45"/>
      <c r="G573" s="44"/>
      <c r="H573" s="17"/>
      <c r="I573" s="45"/>
      <c r="J573" s="45"/>
      <c r="K573" s="39">
        <f t="shared" si="15"/>
        <v>0</v>
      </c>
      <c r="L573" s="39">
        <f t="shared" si="16"/>
        <v>0</v>
      </c>
      <c r="M573" s="5">
        <f t="shared" si="17"/>
        <v>0</v>
      </c>
    </row>
    <row r="574" ht="15.75" customHeight="1">
      <c r="E574" s="39"/>
      <c r="F574" s="45"/>
      <c r="G574" s="44"/>
      <c r="H574" s="17"/>
      <c r="I574" s="45"/>
      <c r="J574" s="45"/>
      <c r="K574" s="39">
        <f t="shared" si="15"/>
        <v>0</v>
      </c>
      <c r="L574" s="39">
        <f t="shared" si="16"/>
        <v>0</v>
      </c>
      <c r="M574" s="5">
        <f t="shared" si="17"/>
        <v>0</v>
      </c>
    </row>
    <row r="575" ht="15.75" customHeight="1">
      <c r="E575" s="39"/>
      <c r="F575" s="45"/>
      <c r="G575" s="44"/>
      <c r="H575" s="17"/>
      <c r="I575" s="45"/>
      <c r="J575" s="45"/>
      <c r="K575" s="39">
        <f t="shared" si="15"/>
        <v>0</v>
      </c>
      <c r="L575" s="39">
        <f t="shared" si="16"/>
        <v>0</v>
      </c>
      <c r="M575" s="5">
        <f t="shared" si="17"/>
        <v>0</v>
      </c>
    </row>
    <row r="576" ht="15.75" customHeight="1">
      <c r="E576" s="39"/>
      <c r="F576" s="45"/>
      <c r="G576" s="44"/>
      <c r="H576" s="17"/>
      <c r="I576" s="45"/>
      <c r="J576" s="45"/>
      <c r="K576" s="39">
        <f t="shared" si="15"/>
        <v>0</v>
      </c>
      <c r="L576" s="39">
        <f t="shared" si="16"/>
        <v>0</v>
      </c>
      <c r="M576" s="5">
        <f t="shared" si="17"/>
        <v>0</v>
      </c>
    </row>
    <row r="577" ht="15.75" customHeight="1">
      <c r="E577" s="39"/>
      <c r="F577" s="45"/>
      <c r="G577" s="44"/>
      <c r="H577" s="17"/>
      <c r="I577" s="45"/>
      <c r="J577" s="45"/>
      <c r="K577" s="39">
        <f t="shared" si="15"/>
        <v>0</v>
      </c>
      <c r="L577" s="39">
        <f t="shared" si="16"/>
        <v>0</v>
      </c>
      <c r="M577" s="5">
        <f t="shared" si="17"/>
        <v>0</v>
      </c>
    </row>
    <row r="578" ht="15.75" customHeight="1">
      <c r="E578" s="39"/>
      <c r="F578" s="45"/>
      <c r="G578" s="44"/>
      <c r="H578" s="17"/>
      <c r="I578" s="45"/>
      <c r="J578" s="45"/>
      <c r="K578" s="39">
        <f t="shared" si="15"/>
        <v>0</v>
      </c>
      <c r="L578" s="39">
        <f t="shared" si="16"/>
        <v>0</v>
      </c>
      <c r="M578" s="5">
        <f t="shared" si="17"/>
        <v>0</v>
      </c>
    </row>
    <row r="579" ht="15.75" customHeight="1">
      <c r="E579" s="39"/>
      <c r="F579" s="45"/>
      <c r="G579" s="44"/>
      <c r="H579" s="17"/>
      <c r="I579" s="45"/>
      <c r="J579" s="45"/>
      <c r="K579" s="39">
        <f t="shared" si="15"/>
        <v>0</v>
      </c>
      <c r="L579" s="39">
        <f t="shared" si="16"/>
        <v>0</v>
      </c>
      <c r="M579" s="5">
        <f t="shared" si="17"/>
        <v>0</v>
      </c>
    </row>
    <row r="580" ht="15.75" customHeight="1">
      <c r="E580" s="39"/>
      <c r="F580" s="45"/>
      <c r="G580" s="44"/>
      <c r="H580" s="17"/>
      <c r="I580" s="45"/>
      <c r="J580" s="45"/>
      <c r="K580" s="39">
        <f t="shared" si="15"/>
        <v>0</v>
      </c>
      <c r="L580" s="39">
        <f t="shared" si="16"/>
        <v>0</v>
      </c>
      <c r="M580" s="5">
        <f t="shared" si="17"/>
        <v>0</v>
      </c>
    </row>
    <row r="581" ht="15.75" customHeight="1">
      <c r="E581" s="39"/>
      <c r="F581" s="45"/>
      <c r="G581" s="44"/>
      <c r="H581" s="17"/>
      <c r="I581" s="45"/>
      <c r="J581" s="45"/>
      <c r="K581" s="39">
        <f t="shared" si="15"/>
        <v>0</v>
      </c>
      <c r="L581" s="39">
        <f t="shared" si="16"/>
        <v>0</v>
      </c>
      <c r="M581" s="5">
        <f t="shared" si="17"/>
        <v>0</v>
      </c>
    </row>
    <row r="582" ht="15.75" customHeight="1">
      <c r="E582" s="39"/>
      <c r="F582" s="45"/>
      <c r="G582" s="44"/>
      <c r="H582" s="17"/>
      <c r="I582" s="45"/>
      <c r="J582" s="45"/>
      <c r="K582" s="39">
        <f t="shared" si="15"/>
        <v>0</v>
      </c>
      <c r="L582" s="39">
        <f t="shared" si="16"/>
        <v>0</v>
      </c>
      <c r="M582" s="5">
        <f t="shared" si="17"/>
        <v>0</v>
      </c>
    </row>
    <row r="583" ht="15.75" customHeight="1">
      <c r="E583" s="39"/>
      <c r="F583" s="45"/>
      <c r="G583" s="44"/>
      <c r="H583" s="17"/>
      <c r="I583" s="45"/>
      <c r="J583" s="45"/>
      <c r="K583" s="39">
        <f t="shared" si="15"/>
        <v>0</v>
      </c>
      <c r="L583" s="39">
        <f t="shared" si="16"/>
        <v>0</v>
      </c>
      <c r="M583" s="5">
        <f t="shared" si="17"/>
        <v>0</v>
      </c>
    </row>
    <row r="584" ht="15.75" customHeight="1">
      <c r="E584" s="39"/>
      <c r="F584" s="45"/>
      <c r="G584" s="44"/>
      <c r="H584" s="17"/>
      <c r="I584" s="45"/>
      <c r="J584" s="45"/>
      <c r="K584" s="39">
        <f t="shared" si="15"/>
        <v>0</v>
      </c>
      <c r="L584" s="39">
        <f t="shared" si="16"/>
        <v>0</v>
      </c>
      <c r="M584" s="5">
        <f t="shared" si="17"/>
        <v>0</v>
      </c>
    </row>
    <row r="585" ht="15.75" customHeight="1">
      <c r="E585" s="39"/>
      <c r="F585" s="45"/>
      <c r="G585" s="44"/>
      <c r="H585" s="17"/>
      <c r="I585" s="45"/>
      <c r="J585" s="45"/>
      <c r="K585" s="39">
        <f t="shared" si="15"/>
        <v>0</v>
      </c>
      <c r="L585" s="39">
        <f t="shared" si="16"/>
        <v>0</v>
      </c>
      <c r="M585" s="5">
        <f t="shared" si="17"/>
        <v>0</v>
      </c>
    </row>
    <row r="586" ht="15.75" customHeight="1">
      <c r="E586" s="39"/>
      <c r="F586" s="45"/>
      <c r="G586" s="44"/>
      <c r="H586" s="17"/>
      <c r="I586" s="45"/>
      <c r="J586" s="45"/>
      <c r="K586" s="39">
        <f t="shared" si="15"/>
        <v>0</v>
      </c>
      <c r="L586" s="39">
        <f t="shared" si="16"/>
        <v>0</v>
      </c>
      <c r="M586" s="5">
        <f t="shared" si="17"/>
        <v>0</v>
      </c>
    </row>
    <row r="587" ht="15.75" customHeight="1">
      <c r="E587" s="39"/>
      <c r="F587" s="45"/>
      <c r="G587" s="44"/>
      <c r="H587" s="17"/>
      <c r="I587" s="45"/>
      <c r="J587" s="45"/>
      <c r="K587" s="39">
        <f t="shared" si="15"/>
        <v>0</v>
      </c>
      <c r="L587" s="39">
        <f t="shared" si="16"/>
        <v>0</v>
      </c>
      <c r="M587" s="5">
        <f t="shared" si="17"/>
        <v>0</v>
      </c>
    </row>
    <row r="588" ht="15.75" customHeight="1">
      <c r="E588" s="39"/>
      <c r="F588" s="45"/>
      <c r="G588" s="44"/>
      <c r="H588" s="17"/>
      <c r="I588" s="45"/>
      <c r="J588" s="45"/>
      <c r="K588" s="39">
        <f t="shared" si="15"/>
        <v>0</v>
      </c>
      <c r="L588" s="39">
        <f t="shared" si="16"/>
        <v>0</v>
      </c>
      <c r="M588" s="5">
        <f t="shared" si="17"/>
        <v>0</v>
      </c>
    </row>
    <row r="589" ht="15.75" customHeight="1">
      <c r="E589" s="39"/>
      <c r="F589" s="45"/>
      <c r="G589" s="44"/>
      <c r="H589" s="17"/>
      <c r="I589" s="45"/>
      <c r="J589" s="45"/>
      <c r="K589" s="39">
        <f t="shared" si="15"/>
        <v>0</v>
      </c>
      <c r="L589" s="39">
        <f t="shared" si="16"/>
        <v>0</v>
      </c>
      <c r="M589" s="5">
        <f t="shared" si="17"/>
        <v>0</v>
      </c>
    </row>
    <row r="590" ht="15.75" customHeight="1">
      <c r="E590" s="39"/>
      <c r="F590" s="45"/>
      <c r="G590" s="44"/>
      <c r="H590" s="17"/>
      <c r="I590" s="45"/>
      <c r="J590" s="45"/>
      <c r="K590" s="39">
        <f t="shared" si="15"/>
        <v>0</v>
      </c>
      <c r="L590" s="39">
        <f t="shared" si="16"/>
        <v>0</v>
      </c>
      <c r="M590" s="5">
        <f t="shared" si="17"/>
        <v>0</v>
      </c>
    </row>
    <row r="591" ht="15.75" customHeight="1">
      <c r="E591" s="39"/>
      <c r="F591" s="45"/>
      <c r="G591" s="44"/>
      <c r="H591" s="17"/>
      <c r="I591" s="45"/>
      <c r="J591" s="45"/>
      <c r="K591" s="39">
        <f t="shared" si="15"/>
        <v>0</v>
      </c>
      <c r="L591" s="39">
        <f t="shared" si="16"/>
        <v>0</v>
      </c>
      <c r="M591" s="5">
        <f t="shared" si="17"/>
        <v>0</v>
      </c>
    </row>
    <row r="592" ht="15.75" customHeight="1">
      <c r="E592" s="39"/>
      <c r="F592" s="45"/>
      <c r="G592" s="44"/>
      <c r="H592" s="17"/>
      <c r="I592" s="45"/>
      <c r="J592" s="45"/>
      <c r="K592" s="39">
        <f t="shared" si="15"/>
        <v>0</v>
      </c>
      <c r="L592" s="39">
        <f t="shared" si="16"/>
        <v>0</v>
      </c>
      <c r="M592" s="5">
        <f t="shared" si="17"/>
        <v>0</v>
      </c>
    </row>
    <row r="593" ht="15.75" customHeight="1">
      <c r="E593" s="39"/>
      <c r="F593" s="45"/>
      <c r="G593" s="44"/>
      <c r="H593" s="17"/>
      <c r="I593" s="45"/>
      <c r="J593" s="45"/>
      <c r="K593" s="39">
        <f t="shared" si="15"/>
        <v>0</v>
      </c>
      <c r="L593" s="39">
        <f t="shared" si="16"/>
        <v>0</v>
      </c>
      <c r="M593" s="5">
        <f t="shared" si="17"/>
        <v>0</v>
      </c>
    </row>
    <row r="594" ht="15.75" customHeight="1">
      <c r="E594" s="39"/>
      <c r="F594" s="45"/>
      <c r="G594" s="44"/>
      <c r="H594" s="17"/>
      <c r="I594" s="45"/>
      <c r="J594" s="45"/>
      <c r="K594" s="39">
        <f t="shared" si="15"/>
        <v>0</v>
      </c>
      <c r="L594" s="39">
        <f t="shared" si="16"/>
        <v>0</v>
      </c>
      <c r="M594" s="5">
        <f t="shared" si="17"/>
        <v>0</v>
      </c>
    </row>
    <row r="595" ht="15.75" customHeight="1">
      <c r="E595" s="39"/>
      <c r="F595" s="45"/>
      <c r="G595" s="44"/>
      <c r="H595" s="17"/>
      <c r="I595" s="45"/>
      <c r="J595" s="45"/>
      <c r="K595" s="39">
        <f t="shared" si="15"/>
        <v>0</v>
      </c>
      <c r="L595" s="39">
        <f t="shared" si="16"/>
        <v>0</v>
      </c>
      <c r="M595" s="5">
        <f t="shared" si="17"/>
        <v>0</v>
      </c>
    </row>
    <row r="596" ht="15.75" customHeight="1">
      <c r="E596" s="39"/>
      <c r="F596" s="45"/>
      <c r="G596" s="44"/>
      <c r="H596" s="17"/>
      <c r="I596" s="45"/>
      <c r="J596" s="45"/>
      <c r="K596" s="39">
        <f t="shared" si="15"/>
        <v>0</v>
      </c>
      <c r="L596" s="39">
        <f t="shared" si="16"/>
        <v>0</v>
      </c>
      <c r="M596" s="5">
        <f t="shared" si="17"/>
        <v>0</v>
      </c>
    </row>
    <row r="597" ht="15.75" customHeight="1">
      <c r="E597" s="39"/>
      <c r="F597" s="45"/>
      <c r="G597" s="44"/>
      <c r="H597" s="17"/>
      <c r="I597" s="45"/>
      <c r="J597" s="45"/>
      <c r="K597" s="39">
        <f t="shared" si="15"/>
        <v>0</v>
      </c>
      <c r="L597" s="39">
        <f t="shared" si="16"/>
        <v>0</v>
      </c>
      <c r="M597" s="5">
        <f t="shared" si="17"/>
        <v>0</v>
      </c>
    </row>
    <row r="598" ht="15.75" customHeight="1">
      <c r="E598" s="39"/>
      <c r="F598" s="45"/>
      <c r="G598" s="44"/>
      <c r="H598" s="17"/>
      <c r="I598" s="45"/>
      <c r="J598" s="45"/>
      <c r="K598" s="39">
        <f t="shared" si="15"/>
        <v>0</v>
      </c>
      <c r="L598" s="39">
        <f t="shared" si="16"/>
        <v>0</v>
      </c>
      <c r="M598" s="5">
        <f t="shared" si="17"/>
        <v>0</v>
      </c>
    </row>
    <row r="599" ht="15.75" customHeight="1">
      <c r="E599" s="39"/>
      <c r="F599" s="45"/>
      <c r="G599" s="44"/>
      <c r="H599" s="17"/>
      <c r="I599" s="45"/>
      <c r="J599" s="45"/>
      <c r="K599" s="39">
        <f t="shared" si="15"/>
        <v>0</v>
      </c>
      <c r="L599" s="39">
        <f t="shared" si="16"/>
        <v>0</v>
      </c>
      <c r="M599" s="5">
        <f t="shared" si="17"/>
        <v>0</v>
      </c>
    </row>
    <row r="600" ht="15.75" customHeight="1">
      <c r="E600" s="39"/>
      <c r="F600" s="45"/>
      <c r="G600" s="44"/>
      <c r="H600" s="17"/>
      <c r="I600" s="45"/>
      <c r="J600" s="45"/>
      <c r="K600" s="39">
        <f t="shared" si="15"/>
        <v>0</v>
      </c>
      <c r="L600" s="39">
        <f t="shared" si="16"/>
        <v>0</v>
      </c>
      <c r="M600" s="5">
        <f t="shared" si="17"/>
        <v>0</v>
      </c>
    </row>
    <row r="601" ht="15.75" customHeight="1">
      <c r="E601" s="39"/>
      <c r="F601" s="45"/>
      <c r="G601" s="44"/>
      <c r="H601" s="17"/>
      <c r="I601" s="45"/>
      <c r="J601" s="45"/>
      <c r="K601" s="39">
        <f t="shared" si="15"/>
        <v>0</v>
      </c>
      <c r="L601" s="39">
        <f t="shared" si="16"/>
        <v>0</v>
      </c>
      <c r="M601" s="5">
        <f t="shared" si="17"/>
        <v>0</v>
      </c>
    </row>
    <row r="602" ht="15.75" customHeight="1">
      <c r="E602" s="39"/>
      <c r="F602" s="45"/>
      <c r="G602" s="44"/>
      <c r="H602" s="17"/>
      <c r="I602" s="45"/>
      <c r="J602" s="45"/>
      <c r="K602" s="39">
        <f t="shared" si="15"/>
        <v>0</v>
      </c>
      <c r="L602" s="39">
        <f t="shared" si="16"/>
        <v>0</v>
      </c>
      <c r="M602" s="5">
        <f t="shared" si="17"/>
        <v>0</v>
      </c>
    </row>
    <row r="603" ht="15.75" customHeight="1">
      <c r="E603" s="39"/>
      <c r="F603" s="45"/>
      <c r="G603" s="44"/>
      <c r="H603" s="17"/>
      <c r="I603" s="45"/>
      <c r="J603" s="45"/>
      <c r="K603" s="39">
        <f t="shared" si="15"/>
        <v>0</v>
      </c>
      <c r="L603" s="39">
        <f t="shared" si="16"/>
        <v>0</v>
      </c>
      <c r="M603" s="5">
        <f t="shared" si="17"/>
        <v>0</v>
      </c>
    </row>
    <row r="604" ht="15.75" customHeight="1">
      <c r="E604" s="39"/>
      <c r="F604" s="45"/>
      <c r="G604" s="44"/>
      <c r="H604" s="17"/>
      <c r="I604" s="45"/>
      <c r="J604" s="45"/>
      <c r="K604" s="39">
        <f t="shared" si="15"/>
        <v>0</v>
      </c>
      <c r="L604" s="39">
        <f t="shared" si="16"/>
        <v>0</v>
      </c>
      <c r="M604" s="5">
        <f t="shared" si="17"/>
        <v>0</v>
      </c>
    </row>
    <row r="605" ht="15.75" customHeight="1">
      <c r="E605" s="39"/>
      <c r="F605" s="45"/>
      <c r="G605" s="44"/>
      <c r="H605" s="17"/>
      <c r="I605" s="45"/>
      <c r="J605" s="45"/>
      <c r="K605" s="39">
        <f t="shared" si="15"/>
        <v>0</v>
      </c>
      <c r="L605" s="39">
        <f t="shared" si="16"/>
        <v>0</v>
      </c>
      <c r="M605" s="5">
        <f t="shared" si="17"/>
        <v>0</v>
      </c>
    </row>
    <row r="606" ht="15.75" customHeight="1">
      <c r="E606" s="39"/>
      <c r="F606" s="45"/>
      <c r="G606" s="44"/>
      <c r="H606" s="17"/>
      <c r="I606" s="45"/>
      <c r="J606" s="45"/>
      <c r="K606" s="39">
        <f t="shared" si="15"/>
        <v>0</v>
      </c>
      <c r="L606" s="39">
        <f t="shared" si="16"/>
        <v>0</v>
      </c>
      <c r="M606" s="5">
        <f t="shared" si="17"/>
        <v>0</v>
      </c>
    </row>
    <row r="607" ht="15.75" customHeight="1">
      <c r="E607" s="39"/>
      <c r="F607" s="45"/>
      <c r="G607" s="44"/>
      <c r="H607" s="17"/>
      <c r="I607" s="45"/>
      <c r="J607" s="45"/>
      <c r="K607" s="39">
        <f t="shared" si="15"/>
        <v>0</v>
      </c>
      <c r="L607" s="39">
        <f t="shared" si="16"/>
        <v>0</v>
      </c>
      <c r="M607" s="5">
        <f t="shared" si="17"/>
        <v>0</v>
      </c>
    </row>
    <row r="608" ht="15.75" customHeight="1">
      <c r="E608" s="39"/>
      <c r="F608" s="45"/>
      <c r="G608" s="44"/>
      <c r="H608" s="17"/>
      <c r="I608" s="45"/>
      <c r="J608" s="45"/>
      <c r="K608" s="39">
        <f t="shared" si="15"/>
        <v>0</v>
      </c>
      <c r="L608" s="39">
        <f t="shared" si="16"/>
        <v>0</v>
      </c>
      <c r="M608" s="5">
        <f t="shared" si="17"/>
        <v>0</v>
      </c>
    </row>
    <row r="609" ht="15.75" customHeight="1">
      <c r="E609" s="39"/>
      <c r="F609" s="45"/>
      <c r="G609" s="44"/>
      <c r="H609" s="17"/>
      <c r="I609" s="45"/>
      <c r="J609" s="45"/>
      <c r="K609" s="39">
        <f t="shared" si="15"/>
        <v>0</v>
      </c>
      <c r="L609" s="39">
        <f t="shared" si="16"/>
        <v>0</v>
      </c>
      <c r="M609" s="5">
        <f t="shared" si="17"/>
        <v>0</v>
      </c>
    </row>
    <row r="610" ht="15.75" customHeight="1">
      <c r="E610" s="39"/>
      <c r="F610" s="45"/>
      <c r="G610" s="44"/>
      <c r="H610" s="17"/>
      <c r="I610" s="45"/>
      <c r="J610" s="45"/>
      <c r="K610" s="39">
        <f t="shared" si="15"/>
        <v>0</v>
      </c>
      <c r="L610" s="39">
        <f t="shared" si="16"/>
        <v>0</v>
      </c>
      <c r="M610" s="5">
        <f t="shared" si="17"/>
        <v>0</v>
      </c>
    </row>
    <row r="611" ht="15.75" customHeight="1">
      <c r="E611" s="39"/>
      <c r="F611" s="45"/>
      <c r="G611" s="44"/>
      <c r="H611" s="17"/>
      <c r="I611" s="45"/>
      <c r="J611" s="45"/>
      <c r="K611" s="39">
        <f t="shared" si="15"/>
        <v>0</v>
      </c>
      <c r="L611" s="39">
        <f t="shared" si="16"/>
        <v>0</v>
      </c>
      <c r="M611" s="5">
        <f t="shared" si="17"/>
        <v>0</v>
      </c>
    </row>
    <row r="612" ht="15.75" customHeight="1">
      <c r="E612" s="39"/>
      <c r="F612" s="45"/>
      <c r="G612" s="44"/>
      <c r="H612" s="17"/>
      <c r="I612" s="45"/>
      <c r="J612" s="45"/>
      <c r="K612" s="39">
        <f t="shared" si="15"/>
        <v>0</v>
      </c>
      <c r="L612" s="39">
        <f t="shared" si="16"/>
        <v>0</v>
      </c>
      <c r="M612" s="5">
        <f t="shared" si="17"/>
        <v>0</v>
      </c>
    </row>
    <row r="613" ht="15.75" customHeight="1">
      <c r="E613" s="39"/>
      <c r="F613" s="45"/>
      <c r="G613" s="44"/>
      <c r="H613" s="17"/>
      <c r="I613" s="45"/>
      <c r="J613" s="45"/>
      <c r="K613" s="39">
        <f t="shared" si="15"/>
        <v>0</v>
      </c>
      <c r="L613" s="39">
        <f t="shared" si="16"/>
        <v>0</v>
      </c>
      <c r="M613" s="5">
        <f t="shared" si="17"/>
        <v>0</v>
      </c>
    </row>
    <row r="614" ht="15.75" customHeight="1">
      <c r="E614" s="39"/>
      <c r="F614" s="45"/>
      <c r="G614" s="44"/>
      <c r="H614" s="17"/>
      <c r="I614" s="45"/>
      <c r="J614" s="45"/>
      <c r="K614" s="39">
        <f t="shared" si="15"/>
        <v>0</v>
      </c>
      <c r="L614" s="39">
        <f t="shared" si="16"/>
        <v>0</v>
      </c>
      <c r="M614" s="5">
        <f t="shared" si="17"/>
        <v>0</v>
      </c>
    </row>
    <row r="615" ht="15.75" customHeight="1">
      <c r="E615" s="39"/>
      <c r="F615" s="45"/>
      <c r="G615" s="44"/>
      <c r="H615" s="17"/>
      <c r="I615" s="45"/>
      <c r="J615" s="45"/>
      <c r="K615" s="39">
        <f t="shared" si="15"/>
        <v>0</v>
      </c>
      <c r="L615" s="39">
        <f t="shared" si="16"/>
        <v>0</v>
      </c>
      <c r="M615" s="5">
        <f t="shared" si="17"/>
        <v>0</v>
      </c>
    </row>
    <row r="616" ht="15.75" customHeight="1">
      <c r="E616" s="39"/>
      <c r="F616" s="45"/>
      <c r="G616" s="44"/>
      <c r="H616" s="17"/>
      <c r="I616" s="45"/>
      <c r="J616" s="45"/>
      <c r="K616" s="39">
        <f t="shared" si="15"/>
        <v>0</v>
      </c>
      <c r="L616" s="39">
        <f t="shared" si="16"/>
        <v>0</v>
      </c>
      <c r="M616" s="5">
        <f t="shared" si="17"/>
        <v>0</v>
      </c>
    </row>
    <row r="617" ht="15.75" customHeight="1">
      <c r="E617" s="39"/>
      <c r="F617" s="45"/>
      <c r="G617" s="44"/>
      <c r="H617" s="17"/>
      <c r="I617" s="45"/>
      <c r="J617" s="45"/>
      <c r="K617" s="39">
        <f t="shared" si="15"/>
        <v>0</v>
      </c>
      <c r="L617" s="39">
        <f t="shared" si="16"/>
        <v>0</v>
      </c>
      <c r="M617" s="5">
        <f t="shared" si="17"/>
        <v>0</v>
      </c>
    </row>
    <row r="618" ht="15.75" customHeight="1">
      <c r="E618" s="39"/>
      <c r="F618" s="45"/>
      <c r="G618" s="44"/>
      <c r="H618" s="17"/>
      <c r="I618" s="45"/>
      <c r="J618" s="45"/>
      <c r="K618" s="39">
        <f t="shared" si="15"/>
        <v>0</v>
      </c>
      <c r="L618" s="39">
        <f t="shared" si="16"/>
        <v>0</v>
      </c>
      <c r="M618" s="5">
        <f t="shared" si="17"/>
        <v>0</v>
      </c>
    </row>
    <row r="619" ht="15.75" customHeight="1">
      <c r="E619" s="39"/>
      <c r="F619" s="45"/>
      <c r="G619" s="44"/>
      <c r="H619" s="17"/>
      <c r="I619" s="45"/>
      <c r="J619" s="45"/>
      <c r="K619" s="39">
        <f t="shared" si="15"/>
        <v>0</v>
      </c>
      <c r="L619" s="39">
        <f t="shared" si="16"/>
        <v>0</v>
      </c>
      <c r="M619" s="5">
        <f t="shared" si="17"/>
        <v>0</v>
      </c>
    </row>
    <row r="620" ht="15.75" customHeight="1">
      <c r="E620" s="39"/>
      <c r="F620" s="45"/>
      <c r="G620" s="44"/>
      <c r="H620" s="17"/>
      <c r="I620" s="45"/>
      <c r="J620" s="45"/>
      <c r="K620" s="39">
        <f t="shared" si="15"/>
        <v>0</v>
      </c>
      <c r="L620" s="39">
        <f t="shared" si="16"/>
        <v>0</v>
      </c>
      <c r="M620" s="5">
        <f t="shared" si="17"/>
        <v>0</v>
      </c>
    </row>
    <row r="621" ht="15.75" customHeight="1">
      <c r="E621" s="39"/>
      <c r="F621" s="45"/>
      <c r="G621" s="44"/>
      <c r="H621" s="17"/>
      <c r="I621" s="45"/>
      <c r="J621" s="45"/>
      <c r="K621" s="39">
        <f t="shared" si="15"/>
        <v>0</v>
      </c>
      <c r="L621" s="39">
        <f t="shared" si="16"/>
        <v>0</v>
      </c>
      <c r="M621" s="5">
        <f t="shared" si="17"/>
        <v>0</v>
      </c>
    </row>
    <row r="622" ht="15.75" customHeight="1">
      <c r="E622" s="39"/>
      <c r="F622" s="45"/>
      <c r="G622" s="44"/>
      <c r="H622" s="17"/>
      <c r="I622" s="45"/>
      <c r="J622" s="45"/>
      <c r="K622" s="39">
        <f t="shared" si="15"/>
        <v>0</v>
      </c>
      <c r="L622" s="39">
        <f t="shared" si="16"/>
        <v>0</v>
      </c>
      <c r="M622" s="5">
        <f t="shared" si="17"/>
        <v>0</v>
      </c>
    </row>
    <row r="623" ht="15.75" customHeight="1">
      <c r="E623" s="39"/>
      <c r="F623" s="45"/>
      <c r="G623" s="44"/>
      <c r="H623" s="17"/>
      <c r="I623" s="45"/>
      <c r="J623" s="45"/>
      <c r="K623" s="39">
        <f t="shared" si="15"/>
        <v>0</v>
      </c>
      <c r="L623" s="39">
        <f t="shared" si="16"/>
        <v>0</v>
      </c>
      <c r="M623" s="5">
        <f t="shared" si="17"/>
        <v>0</v>
      </c>
    </row>
    <row r="624" ht="15.75" customHeight="1">
      <c r="E624" s="39"/>
      <c r="F624" s="45"/>
      <c r="G624" s="44"/>
      <c r="H624" s="17"/>
      <c r="I624" s="45"/>
      <c r="J624" s="45"/>
      <c r="K624" s="39">
        <f t="shared" si="15"/>
        <v>0</v>
      </c>
      <c r="L624" s="39">
        <f t="shared" si="16"/>
        <v>0</v>
      </c>
      <c r="M624" s="5">
        <f t="shared" si="17"/>
        <v>0</v>
      </c>
    </row>
    <row r="625" ht="15.75" customHeight="1">
      <c r="E625" s="39"/>
      <c r="F625" s="45"/>
      <c r="G625" s="44"/>
      <c r="H625" s="17"/>
      <c r="I625" s="45"/>
      <c r="J625" s="45"/>
      <c r="K625" s="39">
        <f t="shared" si="15"/>
        <v>0</v>
      </c>
      <c r="L625" s="39">
        <f t="shared" si="16"/>
        <v>0</v>
      </c>
      <c r="M625" s="5">
        <f t="shared" si="17"/>
        <v>0</v>
      </c>
    </row>
    <row r="626" ht="15.75" customHeight="1">
      <c r="E626" s="39"/>
      <c r="F626" s="45"/>
      <c r="G626" s="44"/>
      <c r="H626" s="17"/>
      <c r="I626" s="45"/>
      <c r="J626" s="45"/>
      <c r="K626" s="39">
        <f t="shared" si="15"/>
        <v>0</v>
      </c>
      <c r="L626" s="39">
        <f t="shared" si="16"/>
        <v>0</v>
      </c>
      <c r="M626" s="5">
        <f t="shared" si="17"/>
        <v>0</v>
      </c>
    </row>
    <row r="627" ht="15.75" customHeight="1">
      <c r="E627" s="39"/>
      <c r="F627" s="45"/>
      <c r="G627" s="44"/>
      <c r="H627" s="17"/>
      <c r="I627" s="45"/>
      <c r="J627" s="45"/>
      <c r="K627" s="39">
        <f t="shared" si="15"/>
        <v>0</v>
      </c>
      <c r="L627" s="39">
        <f t="shared" si="16"/>
        <v>0</v>
      </c>
      <c r="M627" s="5">
        <f t="shared" si="17"/>
        <v>0</v>
      </c>
    </row>
    <row r="628" ht="15.75" customHeight="1">
      <c r="E628" s="39"/>
      <c r="F628" s="45"/>
      <c r="G628" s="44"/>
      <c r="H628" s="17"/>
      <c r="I628" s="45"/>
      <c r="J628" s="45"/>
      <c r="K628" s="39">
        <f t="shared" si="15"/>
        <v>0</v>
      </c>
      <c r="L628" s="39">
        <f t="shared" si="16"/>
        <v>0</v>
      </c>
      <c r="M628" s="5">
        <f t="shared" si="17"/>
        <v>0</v>
      </c>
    </row>
    <row r="629" ht="15.75" customHeight="1">
      <c r="E629" s="39"/>
      <c r="F629" s="45"/>
      <c r="G629" s="44"/>
      <c r="H629" s="17"/>
      <c r="I629" s="45"/>
      <c r="J629" s="45"/>
      <c r="K629" s="39">
        <f t="shared" si="15"/>
        <v>0</v>
      </c>
      <c r="L629" s="39">
        <f t="shared" si="16"/>
        <v>0</v>
      </c>
      <c r="M629" s="5">
        <f t="shared" si="17"/>
        <v>0</v>
      </c>
    </row>
    <row r="630" ht="15.75" customHeight="1">
      <c r="E630" s="39"/>
      <c r="F630" s="45"/>
      <c r="G630" s="44"/>
      <c r="H630" s="17"/>
      <c r="I630" s="45"/>
      <c r="J630" s="45"/>
      <c r="K630" s="39">
        <f t="shared" si="15"/>
        <v>0</v>
      </c>
      <c r="L630" s="39">
        <f t="shared" si="16"/>
        <v>0</v>
      </c>
      <c r="M630" s="5">
        <f t="shared" si="17"/>
        <v>0</v>
      </c>
    </row>
    <row r="631" ht="15.75" customHeight="1">
      <c r="E631" s="39"/>
      <c r="F631" s="45"/>
      <c r="G631" s="44"/>
      <c r="H631" s="17"/>
      <c r="I631" s="45"/>
      <c r="J631" s="45"/>
      <c r="K631" s="39">
        <f t="shared" si="15"/>
        <v>0</v>
      </c>
      <c r="L631" s="39">
        <f t="shared" si="16"/>
        <v>0</v>
      </c>
      <c r="M631" s="5">
        <f t="shared" si="17"/>
        <v>0</v>
      </c>
    </row>
    <row r="632" ht="15.75" customHeight="1">
      <c r="E632" s="39"/>
      <c r="F632" s="45"/>
      <c r="G632" s="44"/>
      <c r="H632" s="17"/>
      <c r="I632" s="45"/>
      <c r="J632" s="45"/>
      <c r="K632" s="39">
        <f t="shared" si="15"/>
        <v>0</v>
      </c>
      <c r="L632" s="39">
        <f t="shared" si="16"/>
        <v>0</v>
      </c>
      <c r="M632" s="5">
        <f t="shared" si="17"/>
        <v>0</v>
      </c>
    </row>
    <row r="633" ht="15.75" customHeight="1">
      <c r="E633" s="39"/>
      <c r="F633" s="45"/>
      <c r="G633" s="44"/>
      <c r="H633" s="17"/>
      <c r="I633" s="45"/>
      <c r="J633" s="45"/>
      <c r="K633" s="39">
        <f t="shared" si="15"/>
        <v>0</v>
      </c>
      <c r="L633" s="39">
        <f t="shared" si="16"/>
        <v>0</v>
      </c>
      <c r="M633" s="5">
        <f t="shared" si="17"/>
        <v>0</v>
      </c>
    </row>
    <row r="634" ht="15.75" customHeight="1">
      <c r="E634" s="39"/>
      <c r="F634" s="45"/>
      <c r="G634" s="44"/>
      <c r="H634" s="17"/>
      <c r="I634" s="45"/>
      <c r="J634" s="45"/>
      <c r="K634" s="39">
        <f t="shared" si="15"/>
        <v>0</v>
      </c>
      <c r="L634" s="39">
        <f t="shared" si="16"/>
        <v>0</v>
      </c>
      <c r="M634" s="5">
        <f t="shared" si="17"/>
        <v>0</v>
      </c>
    </row>
    <row r="635" ht="15.75" customHeight="1">
      <c r="E635" s="39"/>
      <c r="F635" s="45"/>
      <c r="G635" s="44"/>
      <c r="H635" s="17"/>
      <c r="I635" s="45"/>
      <c r="J635" s="45"/>
      <c r="K635" s="39">
        <f t="shared" si="15"/>
        <v>0</v>
      </c>
      <c r="L635" s="39">
        <f t="shared" si="16"/>
        <v>0</v>
      </c>
      <c r="M635" s="5">
        <f t="shared" si="17"/>
        <v>0</v>
      </c>
    </row>
    <row r="636" ht="15.75" customHeight="1">
      <c r="E636" s="39"/>
      <c r="F636" s="45"/>
      <c r="G636" s="44"/>
      <c r="H636" s="17"/>
      <c r="I636" s="45"/>
      <c r="J636" s="45"/>
      <c r="K636" s="39">
        <f t="shared" si="15"/>
        <v>0</v>
      </c>
      <c r="L636" s="39">
        <f t="shared" si="16"/>
        <v>0</v>
      </c>
      <c r="M636" s="5">
        <f t="shared" si="17"/>
        <v>0</v>
      </c>
    </row>
    <row r="637" ht="15.75" customHeight="1">
      <c r="E637" s="39"/>
      <c r="F637" s="45"/>
      <c r="G637" s="44"/>
      <c r="H637" s="17"/>
      <c r="I637" s="45"/>
      <c r="J637" s="45"/>
      <c r="K637" s="39">
        <f t="shared" si="15"/>
        <v>0</v>
      </c>
      <c r="L637" s="39">
        <f t="shared" si="16"/>
        <v>0</v>
      </c>
      <c r="M637" s="5">
        <f t="shared" si="17"/>
        <v>0</v>
      </c>
    </row>
    <row r="638" ht="15.75" customHeight="1">
      <c r="E638" s="39"/>
      <c r="F638" s="45"/>
      <c r="G638" s="44"/>
      <c r="H638" s="17"/>
      <c r="I638" s="45"/>
      <c r="J638" s="45"/>
      <c r="K638" s="39">
        <f t="shared" si="15"/>
        <v>0</v>
      </c>
      <c r="L638" s="39">
        <f t="shared" si="16"/>
        <v>0</v>
      </c>
      <c r="M638" s="5">
        <f t="shared" si="17"/>
        <v>0</v>
      </c>
    </row>
    <row r="639" ht="15.75" customHeight="1">
      <c r="E639" s="39"/>
      <c r="F639" s="45"/>
      <c r="G639" s="44"/>
      <c r="H639" s="17"/>
      <c r="I639" s="45"/>
      <c r="J639" s="45"/>
      <c r="K639" s="39">
        <f t="shared" si="15"/>
        <v>0</v>
      </c>
      <c r="L639" s="39">
        <f t="shared" si="16"/>
        <v>0</v>
      </c>
      <c r="M639" s="5">
        <f t="shared" si="17"/>
        <v>0</v>
      </c>
    </row>
    <row r="640" ht="15.75" customHeight="1">
      <c r="E640" s="39"/>
      <c r="F640" s="45"/>
      <c r="G640" s="44"/>
      <c r="H640" s="17"/>
      <c r="I640" s="45"/>
      <c r="J640" s="45"/>
      <c r="K640" s="39">
        <f t="shared" si="15"/>
        <v>0</v>
      </c>
      <c r="L640" s="39">
        <f t="shared" si="16"/>
        <v>0</v>
      </c>
      <c r="M640" s="5">
        <f t="shared" si="17"/>
        <v>0</v>
      </c>
    </row>
    <row r="641" ht="15.75" customHeight="1">
      <c r="E641" s="39"/>
      <c r="F641" s="45"/>
      <c r="G641" s="44"/>
      <c r="H641" s="17"/>
      <c r="I641" s="45"/>
      <c r="J641" s="45"/>
      <c r="K641" s="39">
        <f t="shared" si="15"/>
        <v>0</v>
      </c>
      <c r="L641" s="39">
        <f t="shared" si="16"/>
        <v>0</v>
      </c>
      <c r="M641" s="5">
        <f t="shared" si="17"/>
        <v>0</v>
      </c>
    </row>
    <row r="642" ht="15.75" customHeight="1">
      <c r="E642" s="39"/>
      <c r="F642" s="45"/>
      <c r="G642" s="44"/>
      <c r="H642" s="17"/>
      <c r="I642" s="45"/>
      <c r="J642" s="45"/>
      <c r="K642" s="39">
        <f t="shared" si="15"/>
        <v>0</v>
      </c>
      <c r="L642" s="39">
        <f t="shared" si="16"/>
        <v>0</v>
      </c>
      <c r="M642" s="5">
        <f t="shared" si="17"/>
        <v>0</v>
      </c>
    </row>
    <row r="643" ht="15.75" customHeight="1">
      <c r="E643" s="39"/>
      <c r="F643" s="45"/>
      <c r="G643" s="44"/>
      <c r="H643" s="17"/>
      <c r="I643" s="45"/>
      <c r="J643" s="45"/>
      <c r="K643" s="39">
        <f t="shared" si="15"/>
        <v>0</v>
      </c>
      <c r="L643" s="39">
        <f t="shared" si="16"/>
        <v>0</v>
      </c>
      <c r="M643" s="5">
        <f t="shared" si="17"/>
        <v>0</v>
      </c>
    </row>
    <row r="644" ht="15.75" customHeight="1">
      <c r="E644" s="39"/>
      <c r="F644" s="45"/>
      <c r="G644" s="44"/>
      <c r="H644" s="17"/>
      <c r="I644" s="45"/>
      <c r="J644" s="45"/>
      <c r="K644" s="39">
        <f t="shared" si="15"/>
        <v>0</v>
      </c>
      <c r="L644" s="39">
        <f t="shared" si="16"/>
        <v>0</v>
      </c>
      <c r="M644" s="5">
        <f t="shared" si="17"/>
        <v>0</v>
      </c>
    </row>
    <row r="645" ht="15.75" customHeight="1">
      <c r="E645" s="39"/>
      <c r="F645" s="45"/>
      <c r="G645" s="44"/>
      <c r="H645" s="17"/>
      <c r="I645" s="45"/>
      <c r="J645" s="45"/>
      <c r="K645" s="39">
        <f t="shared" si="15"/>
        <v>0</v>
      </c>
      <c r="L645" s="39">
        <f t="shared" si="16"/>
        <v>0</v>
      </c>
      <c r="M645" s="5">
        <f t="shared" si="17"/>
        <v>0</v>
      </c>
    </row>
    <row r="646" ht="15.75" customHeight="1">
      <c r="E646" s="39"/>
      <c r="F646" s="45"/>
      <c r="G646" s="44"/>
      <c r="H646" s="17"/>
      <c r="I646" s="45"/>
      <c r="J646" s="45"/>
      <c r="K646" s="39">
        <f t="shared" si="15"/>
        <v>0</v>
      </c>
      <c r="L646" s="39">
        <f t="shared" si="16"/>
        <v>0</v>
      </c>
      <c r="M646" s="5">
        <f t="shared" si="17"/>
        <v>0</v>
      </c>
    </row>
    <row r="647" ht="15.75" customHeight="1">
      <c r="E647" s="39"/>
      <c r="F647" s="45"/>
      <c r="G647" s="44"/>
      <c r="H647" s="17"/>
      <c r="I647" s="45"/>
      <c r="J647" s="45"/>
      <c r="K647" s="39">
        <f t="shared" si="15"/>
        <v>0</v>
      </c>
      <c r="L647" s="39">
        <f t="shared" si="16"/>
        <v>0</v>
      </c>
      <c r="M647" s="5">
        <f t="shared" si="17"/>
        <v>0</v>
      </c>
    </row>
    <row r="648" ht="15.75" customHeight="1">
      <c r="E648" s="39"/>
      <c r="F648" s="45"/>
      <c r="G648" s="44"/>
      <c r="H648" s="17"/>
      <c r="I648" s="45"/>
      <c r="J648" s="45"/>
      <c r="K648" s="39">
        <f t="shared" si="15"/>
        <v>0</v>
      </c>
      <c r="L648" s="39">
        <f t="shared" si="16"/>
        <v>0</v>
      </c>
      <c r="M648" s="5">
        <f t="shared" si="17"/>
        <v>0</v>
      </c>
    </row>
    <row r="649" ht="15.75" customHeight="1">
      <c r="E649" s="39"/>
      <c r="F649" s="45"/>
      <c r="G649" s="44"/>
      <c r="H649" s="17"/>
      <c r="I649" s="45"/>
      <c r="J649" s="45"/>
      <c r="K649" s="39">
        <f t="shared" si="15"/>
        <v>0</v>
      </c>
      <c r="L649" s="39">
        <f t="shared" si="16"/>
        <v>0</v>
      </c>
      <c r="M649" s="5">
        <f t="shared" si="17"/>
        <v>0</v>
      </c>
    </row>
    <row r="650" ht="15.75" customHeight="1">
      <c r="E650" s="39"/>
      <c r="F650" s="45"/>
      <c r="G650" s="44"/>
      <c r="H650" s="17"/>
      <c r="I650" s="45"/>
      <c r="J650" s="45"/>
      <c r="K650" s="39">
        <f t="shared" si="15"/>
        <v>0</v>
      </c>
      <c r="L650" s="39">
        <f t="shared" si="16"/>
        <v>0</v>
      </c>
      <c r="M650" s="5">
        <f t="shared" si="17"/>
        <v>0</v>
      </c>
    </row>
    <row r="651" ht="15.75" customHeight="1">
      <c r="E651" s="39"/>
      <c r="F651" s="45"/>
      <c r="G651" s="44"/>
      <c r="H651" s="17"/>
      <c r="I651" s="45"/>
      <c r="J651" s="45"/>
      <c r="K651" s="39">
        <f t="shared" si="15"/>
        <v>0</v>
      </c>
      <c r="L651" s="39">
        <f t="shared" si="16"/>
        <v>0</v>
      </c>
      <c r="M651" s="5">
        <f t="shared" si="17"/>
        <v>0</v>
      </c>
    </row>
    <row r="652" ht="15.75" customHeight="1">
      <c r="E652" s="39"/>
      <c r="F652" s="45"/>
      <c r="G652" s="44"/>
      <c r="H652" s="17"/>
      <c r="I652" s="45"/>
      <c r="J652" s="45"/>
      <c r="K652" s="39">
        <f t="shared" si="15"/>
        <v>0</v>
      </c>
      <c r="L652" s="39">
        <f t="shared" si="16"/>
        <v>0</v>
      </c>
      <c r="M652" s="5">
        <f t="shared" si="17"/>
        <v>0</v>
      </c>
    </row>
    <row r="653" ht="15.75" customHeight="1">
      <c r="E653" s="39"/>
      <c r="F653" s="45"/>
      <c r="G653" s="44"/>
      <c r="H653" s="17"/>
      <c r="I653" s="45"/>
      <c r="J653" s="45"/>
      <c r="K653" s="39">
        <f t="shared" si="15"/>
        <v>0</v>
      </c>
      <c r="L653" s="39">
        <f t="shared" si="16"/>
        <v>0</v>
      </c>
      <c r="M653" s="5">
        <f t="shared" si="17"/>
        <v>0</v>
      </c>
    </row>
    <row r="654" ht="15.75" customHeight="1">
      <c r="E654" s="39"/>
      <c r="F654" s="45"/>
      <c r="G654" s="44"/>
      <c r="H654" s="17"/>
      <c r="I654" s="45"/>
      <c r="J654" s="45"/>
      <c r="K654" s="39">
        <f t="shared" si="15"/>
        <v>0</v>
      </c>
      <c r="L654" s="39">
        <f t="shared" si="16"/>
        <v>0</v>
      </c>
      <c r="M654" s="5">
        <f t="shared" si="17"/>
        <v>0</v>
      </c>
    </row>
    <row r="655" ht="15.75" customHeight="1">
      <c r="E655" s="39"/>
      <c r="F655" s="45"/>
      <c r="G655" s="44"/>
      <c r="H655" s="17"/>
      <c r="I655" s="45"/>
      <c r="J655" s="45"/>
      <c r="K655" s="39">
        <f t="shared" si="15"/>
        <v>0</v>
      </c>
      <c r="L655" s="39">
        <f t="shared" si="16"/>
        <v>0</v>
      </c>
      <c r="M655" s="5">
        <f t="shared" si="17"/>
        <v>0</v>
      </c>
    </row>
    <row r="656" ht="15.75" customHeight="1">
      <c r="E656" s="39"/>
      <c r="F656" s="45"/>
      <c r="G656" s="44"/>
      <c r="H656" s="17"/>
      <c r="I656" s="45"/>
      <c r="J656" s="45"/>
      <c r="K656" s="39">
        <f t="shared" si="15"/>
        <v>0</v>
      </c>
      <c r="L656" s="39">
        <f t="shared" si="16"/>
        <v>0</v>
      </c>
      <c r="M656" s="5">
        <f t="shared" si="17"/>
        <v>0</v>
      </c>
    </row>
    <row r="657" ht="15.75" customHeight="1">
      <c r="E657" s="39"/>
      <c r="F657" s="45"/>
      <c r="G657" s="44"/>
      <c r="H657" s="17"/>
      <c r="I657" s="45"/>
      <c r="J657" s="45"/>
      <c r="K657" s="39">
        <f t="shared" si="15"/>
        <v>0</v>
      </c>
      <c r="L657" s="39">
        <f t="shared" si="16"/>
        <v>0</v>
      </c>
      <c r="M657" s="5">
        <f t="shared" si="17"/>
        <v>0</v>
      </c>
    </row>
    <row r="658" ht="15.75" customHeight="1">
      <c r="E658" s="39"/>
      <c r="F658" s="45"/>
      <c r="G658" s="44"/>
      <c r="H658" s="17"/>
      <c r="I658" s="45"/>
      <c r="J658" s="45"/>
      <c r="K658" s="39">
        <f t="shared" si="15"/>
        <v>0</v>
      </c>
      <c r="L658" s="39">
        <f t="shared" si="16"/>
        <v>0</v>
      </c>
      <c r="M658" s="5">
        <f t="shared" si="17"/>
        <v>0</v>
      </c>
    </row>
    <row r="659" ht="15.75" customHeight="1">
      <c r="E659" s="39"/>
      <c r="F659" s="45"/>
      <c r="G659" s="44"/>
      <c r="H659" s="17"/>
      <c r="I659" s="45"/>
      <c r="J659" s="45"/>
      <c r="K659" s="39">
        <f t="shared" si="15"/>
        <v>0</v>
      </c>
      <c r="L659" s="39">
        <f t="shared" si="16"/>
        <v>0</v>
      </c>
      <c r="M659" s="5">
        <f t="shared" si="17"/>
        <v>0</v>
      </c>
    </row>
    <row r="660" ht="15.75" customHeight="1">
      <c r="E660" s="39"/>
      <c r="F660" s="45"/>
      <c r="G660" s="44"/>
      <c r="H660" s="17"/>
      <c r="I660" s="45"/>
      <c r="J660" s="45"/>
      <c r="K660" s="39">
        <f t="shared" si="15"/>
        <v>0</v>
      </c>
      <c r="L660" s="39">
        <f t="shared" si="16"/>
        <v>0</v>
      </c>
      <c r="M660" s="5">
        <f t="shared" si="17"/>
        <v>0</v>
      </c>
    </row>
    <row r="661" ht="15.75" customHeight="1">
      <c r="E661" s="39"/>
      <c r="F661" s="45"/>
      <c r="G661" s="44"/>
      <c r="H661" s="17"/>
      <c r="I661" s="45"/>
      <c r="J661" s="45"/>
      <c r="K661" s="39">
        <f t="shared" si="15"/>
        <v>0</v>
      </c>
      <c r="L661" s="39">
        <f t="shared" si="16"/>
        <v>0</v>
      </c>
      <c r="M661" s="5">
        <f t="shared" si="17"/>
        <v>0</v>
      </c>
    </row>
    <row r="662" ht="15.75" customHeight="1">
      <c r="E662" s="39"/>
      <c r="F662" s="45"/>
      <c r="G662" s="44"/>
      <c r="H662" s="17"/>
      <c r="I662" s="45"/>
      <c r="J662" s="45"/>
      <c r="K662" s="39">
        <f t="shared" si="15"/>
        <v>0</v>
      </c>
      <c r="L662" s="39">
        <f t="shared" si="16"/>
        <v>0</v>
      </c>
      <c r="M662" s="5">
        <f t="shared" si="17"/>
        <v>0</v>
      </c>
    </row>
    <row r="663" ht="15.75" customHeight="1">
      <c r="E663" s="39"/>
      <c r="F663" s="45"/>
      <c r="G663" s="44"/>
      <c r="H663" s="17"/>
      <c r="I663" s="45"/>
      <c r="J663" s="45"/>
      <c r="K663" s="39">
        <f t="shared" si="15"/>
        <v>0</v>
      </c>
      <c r="L663" s="39">
        <f t="shared" si="16"/>
        <v>0</v>
      </c>
      <c r="M663" s="5">
        <f t="shared" si="17"/>
        <v>0</v>
      </c>
    </row>
    <row r="664" ht="15.75" customHeight="1">
      <c r="E664" s="39"/>
      <c r="F664" s="45"/>
      <c r="G664" s="44"/>
      <c r="H664" s="17"/>
      <c r="I664" s="45"/>
      <c r="J664" s="45"/>
      <c r="K664" s="39">
        <f t="shared" si="15"/>
        <v>0</v>
      </c>
      <c r="L664" s="39">
        <f t="shared" si="16"/>
        <v>0</v>
      </c>
      <c r="M664" s="5">
        <f t="shared" si="17"/>
        <v>0</v>
      </c>
    </row>
    <row r="665" ht="15.75" customHeight="1">
      <c r="E665" s="39"/>
      <c r="F665" s="45"/>
      <c r="G665" s="44"/>
      <c r="H665" s="17"/>
      <c r="I665" s="45"/>
      <c r="J665" s="45"/>
      <c r="K665" s="39">
        <f t="shared" si="15"/>
        <v>0</v>
      </c>
      <c r="L665" s="39">
        <f t="shared" si="16"/>
        <v>0</v>
      </c>
      <c r="M665" s="5">
        <f t="shared" si="17"/>
        <v>0</v>
      </c>
    </row>
    <row r="666" ht="15.75" customHeight="1">
      <c r="E666" s="39"/>
      <c r="F666" s="45"/>
      <c r="G666" s="44"/>
      <c r="H666" s="17"/>
      <c r="I666" s="45"/>
      <c r="J666" s="45"/>
      <c r="K666" s="39">
        <f t="shared" si="15"/>
        <v>0</v>
      </c>
      <c r="L666" s="39">
        <f t="shared" si="16"/>
        <v>0</v>
      </c>
      <c r="M666" s="5">
        <f t="shared" si="17"/>
        <v>0</v>
      </c>
    </row>
    <row r="667" ht="15.75" customHeight="1">
      <c r="E667" s="39"/>
      <c r="F667" s="45"/>
      <c r="G667" s="44"/>
      <c r="H667" s="17"/>
      <c r="I667" s="45"/>
      <c r="J667" s="45"/>
      <c r="K667" s="39">
        <f t="shared" si="15"/>
        <v>0</v>
      </c>
      <c r="L667" s="39">
        <f t="shared" si="16"/>
        <v>0</v>
      </c>
      <c r="M667" s="5">
        <f t="shared" si="17"/>
        <v>0</v>
      </c>
    </row>
    <row r="668" ht="15.75" customHeight="1">
      <c r="E668" s="39"/>
      <c r="F668" s="45"/>
      <c r="G668" s="44"/>
      <c r="H668" s="17"/>
      <c r="I668" s="45"/>
      <c r="J668" s="45"/>
      <c r="K668" s="39">
        <f t="shared" si="15"/>
        <v>0</v>
      </c>
      <c r="L668" s="39">
        <f t="shared" si="16"/>
        <v>0</v>
      </c>
      <c r="M668" s="5">
        <f t="shared" si="17"/>
        <v>0</v>
      </c>
    </row>
    <row r="669" ht="15.75" customHeight="1">
      <c r="E669" s="39"/>
      <c r="F669" s="45"/>
      <c r="G669" s="44"/>
      <c r="H669" s="17"/>
      <c r="I669" s="45"/>
      <c r="J669" s="45"/>
      <c r="K669" s="39">
        <f t="shared" si="15"/>
        <v>0</v>
      </c>
      <c r="L669" s="39">
        <f t="shared" si="16"/>
        <v>0</v>
      </c>
      <c r="M669" s="5">
        <f t="shared" si="17"/>
        <v>0</v>
      </c>
    </row>
    <row r="670" ht="15.75" customHeight="1">
      <c r="E670" s="39"/>
      <c r="F670" s="45"/>
      <c r="G670" s="44"/>
      <c r="H670" s="17"/>
      <c r="I670" s="45"/>
      <c r="J670" s="45"/>
      <c r="K670" s="39">
        <f t="shared" si="15"/>
        <v>0</v>
      </c>
      <c r="L670" s="39">
        <f t="shared" si="16"/>
        <v>0</v>
      </c>
      <c r="M670" s="5">
        <f t="shared" si="17"/>
        <v>0</v>
      </c>
    </row>
    <row r="671" ht="15.75" customHeight="1">
      <c r="E671" s="39"/>
      <c r="F671" s="45"/>
      <c r="G671" s="44"/>
      <c r="H671" s="17"/>
      <c r="I671" s="45"/>
      <c r="J671" s="45"/>
      <c r="K671" s="39">
        <f t="shared" si="15"/>
        <v>0</v>
      </c>
      <c r="L671" s="39">
        <f t="shared" si="16"/>
        <v>0</v>
      </c>
      <c r="M671" s="5">
        <f t="shared" si="17"/>
        <v>0</v>
      </c>
    </row>
    <row r="672" ht="15.75" customHeight="1">
      <c r="E672" s="39"/>
      <c r="F672" s="45"/>
      <c r="G672" s="44"/>
      <c r="H672" s="17"/>
      <c r="I672" s="45"/>
      <c r="J672" s="45"/>
      <c r="K672" s="39">
        <f t="shared" si="15"/>
        <v>0</v>
      </c>
      <c r="L672" s="39">
        <f t="shared" si="16"/>
        <v>0</v>
      </c>
      <c r="M672" s="5">
        <f t="shared" si="17"/>
        <v>0</v>
      </c>
    </row>
    <row r="673" ht="15.75" customHeight="1">
      <c r="E673" s="39"/>
      <c r="F673" s="45"/>
      <c r="G673" s="44"/>
      <c r="H673" s="17"/>
      <c r="I673" s="45"/>
      <c r="J673" s="45"/>
      <c r="K673" s="39">
        <f t="shared" si="15"/>
        <v>0</v>
      </c>
      <c r="L673" s="39">
        <f t="shared" si="16"/>
        <v>0</v>
      </c>
      <c r="M673" s="5">
        <f t="shared" si="17"/>
        <v>0</v>
      </c>
    </row>
    <row r="674" ht="15.75" customHeight="1">
      <c r="E674" s="39"/>
      <c r="F674" s="45"/>
      <c r="G674" s="44"/>
      <c r="H674" s="17"/>
      <c r="I674" s="45"/>
      <c r="J674" s="45"/>
      <c r="K674" s="39">
        <f t="shared" si="15"/>
        <v>0</v>
      </c>
      <c r="L674" s="39">
        <f t="shared" si="16"/>
        <v>0</v>
      </c>
      <c r="M674" s="5">
        <f t="shared" si="17"/>
        <v>0</v>
      </c>
    </row>
    <row r="675" ht="15.75" customHeight="1">
      <c r="E675" s="39"/>
      <c r="F675" s="45"/>
      <c r="G675" s="44"/>
      <c r="H675" s="17"/>
      <c r="I675" s="45"/>
      <c r="J675" s="45"/>
      <c r="K675" s="39">
        <f t="shared" si="15"/>
        <v>0</v>
      </c>
      <c r="L675" s="39">
        <f t="shared" si="16"/>
        <v>0</v>
      </c>
      <c r="M675" s="5">
        <f t="shared" si="17"/>
        <v>0</v>
      </c>
    </row>
    <row r="676" ht="15.75" customHeight="1">
      <c r="E676" s="39"/>
      <c r="F676" s="45"/>
      <c r="G676" s="44"/>
      <c r="H676" s="17"/>
      <c r="I676" s="45"/>
      <c r="J676" s="45"/>
      <c r="K676" s="39">
        <f t="shared" si="15"/>
        <v>0</v>
      </c>
      <c r="L676" s="39">
        <f t="shared" si="16"/>
        <v>0</v>
      </c>
      <c r="M676" s="5">
        <f t="shared" si="17"/>
        <v>0</v>
      </c>
    </row>
    <row r="677" ht="15.75" customHeight="1">
      <c r="E677" s="39"/>
      <c r="F677" s="45"/>
      <c r="G677" s="44"/>
      <c r="H677" s="17"/>
      <c r="I677" s="45"/>
      <c r="J677" s="45"/>
      <c r="K677" s="39">
        <f t="shared" si="15"/>
        <v>0</v>
      </c>
      <c r="L677" s="39">
        <f t="shared" si="16"/>
        <v>0</v>
      </c>
      <c r="M677" s="5">
        <f t="shared" si="17"/>
        <v>0</v>
      </c>
    </row>
    <row r="678" ht="15.75" customHeight="1">
      <c r="E678" s="39"/>
      <c r="F678" s="45"/>
      <c r="G678" s="44"/>
      <c r="H678" s="17"/>
      <c r="I678" s="45"/>
      <c r="J678" s="45"/>
      <c r="K678" s="39">
        <f t="shared" si="15"/>
        <v>0</v>
      </c>
      <c r="L678" s="39">
        <f t="shared" si="16"/>
        <v>0</v>
      </c>
      <c r="M678" s="5">
        <f t="shared" si="17"/>
        <v>0</v>
      </c>
    </row>
    <row r="679" ht="15.75" customHeight="1">
      <c r="E679" s="39"/>
      <c r="F679" s="45"/>
      <c r="G679" s="44"/>
      <c r="H679" s="17"/>
      <c r="I679" s="45"/>
      <c r="J679" s="45"/>
      <c r="K679" s="39">
        <f t="shared" si="15"/>
        <v>0</v>
      </c>
      <c r="L679" s="39">
        <f t="shared" si="16"/>
        <v>0</v>
      </c>
      <c r="M679" s="5">
        <f t="shared" si="17"/>
        <v>0</v>
      </c>
    </row>
    <row r="680" ht="15.75" customHeight="1">
      <c r="E680" s="39"/>
      <c r="F680" s="45"/>
      <c r="G680" s="44"/>
      <c r="H680" s="17"/>
      <c r="I680" s="45"/>
      <c r="J680" s="45"/>
      <c r="K680" s="39">
        <f t="shared" si="15"/>
        <v>0</v>
      </c>
      <c r="L680" s="39">
        <f t="shared" si="16"/>
        <v>0</v>
      </c>
      <c r="M680" s="5">
        <f t="shared" si="17"/>
        <v>0</v>
      </c>
    </row>
    <row r="681" ht="15.75" customHeight="1">
      <c r="E681" s="39"/>
      <c r="F681" s="45"/>
      <c r="G681" s="44"/>
      <c r="H681" s="17"/>
      <c r="I681" s="45"/>
      <c r="J681" s="45"/>
      <c r="K681" s="39">
        <f t="shared" si="15"/>
        <v>0</v>
      </c>
      <c r="L681" s="39">
        <f t="shared" si="16"/>
        <v>0</v>
      </c>
      <c r="M681" s="5">
        <f t="shared" si="17"/>
        <v>0</v>
      </c>
    </row>
    <row r="682" ht="15.75" customHeight="1">
      <c r="E682" s="39"/>
      <c r="F682" s="45"/>
      <c r="G682" s="44"/>
      <c r="H682" s="17"/>
      <c r="I682" s="45"/>
      <c r="J682" s="45"/>
      <c r="K682" s="39">
        <f t="shared" si="15"/>
        <v>0</v>
      </c>
      <c r="L682" s="39">
        <f t="shared" si="16"/>
        <v>0</v>
      </c>
      <c r="M682" s="5">
        <f t="shared" si="17"/>
        <v>0</v>
      </c>
    </row>
    <row r="683" ht="15.75" customHeight="1">
      <c r="E683" s="39"/>
      <c r="F683" s="45"/>
      <c r="G683" s="44"/>
      <c r="H683" s="17"/>
      <c r="I683" s="45"/>
      <c r="J683" s="45"/>
      <c r="K683" s="39">
        <f t="shared" si="15"/>
        <v>0</v>
      </c>
      <c r="L683" s="39">
        <f t="shared" si="16"/>
        <v>0</v>
      </c>
      <c r="M683" s="5">
        <f t="shared" si="17"/>
        <v>0</v>
      </c>
    </row>
    <row r="684" ht="15.75" customHeight="1">
      <c r="E684" s="39"/>
      <c r="F684" s="45"/>
      <c r="G684" s="44"/>
      <c r="H684" s="17"/>
      <c r="I684" s="45"/>
      <c r="J684" s="45"/>
      <c r="K684" s="39">
        <f t="shared" si="15"/>
        <v>0</v>
      </c>
      <c r="L684" s="39">
        <f t="shared" si="16"/>
        <v>0</v>
      </c>
      <c r="M684" s="5">
        <f t="shared" si="17"/>
        <v>0</v>
      </c>
    </row>
    <row r="685" ht="15.75" customHeight="1">
      <c r="E685" s="39"/>
      <c r="F685" s="45"/>
      <c r="G685" s="44"/>
      <c r="H685" s="17"/>
      <c r="I685" s="45"/>
      <c r="J685" s="45"/>
      <c r="K685" s="39">
        <f t="shared" si="15"/>
        <v>0</v>
      </c>
      <c r="L685" s="39">
        <f t="shared" si="16"/>
        <v>0</v>
      </c>
      <c r="M685" s="5">
        <f t="shared" si="17"/>
        <v>0</v>
      </c>
    </row>
    <row r="686" ht="15.75" customHeight="1">
      <c r="E686" s="39"/>
      <c r="F686" s="45"/>
      <c r="G686" s="44"/>
      <c r="H686" s="17"/>
      <c r="I686" s="45"/>
      <c r="J686" s="45"/>
      <c r="K686" s="39">
        <f t="shared" si="15"/>
        <v>0</v>
      </c>
      <c r="L686" s="39">
        <f t="shared" si="16"/>
        <v>0</v>
      </c>
      <c r="M686" s="5">
        <f t="shared" si="17"/>
        <v>0</v>
      </c>
    </row>
    <row r="687" ht="15.75" customHeight="1">
      <c r="E687" s="39"/>
      <c r="F687" s="45"/>
      <c r="G687" s="44"/>
      <c r="H687" s="17"/>
      <c r="I687" s="45"/>
      <c r="J687" s="45"/>
      <c r="K687" s="39">
        <f t="shared" si="15"/>
        <v>0</v>
      </c>
      <c r="L687" s="39">
        <f t="shared" si="16"/>
        <v>0</v>
      </c>
      <c r="M687" s="5">
        <f t="shared" si="17"/>
        <v>0</v>
      </c>
    </row>
    <row r="688" ht="15.75" customHeight="1">
      <c r="E688" s="39"/>
      <c r="F688" s="45"/>
      <c r="G688" s="44"/>
      <c r="H688" s="17"/>
      <c r="I688" s="45"/>
      <c r="J688" s="45"/>
      <c r="K688" s="39">
        <f t="shared" si="15"/>
        <v>0</v>
      </c>
      <c r="L688" s="39">
        <f t="shared" si="16"/>
        <v>0</v>
      </c>
      <c r="M688" s="5">
        <f t="shared" si="17"/>
        <v>0</v>
      </c>
    </row>
    <row r="689" ht="15.75" customHeight="1">
      <c r="E689" s="39"/>
      <c r="F689" s="45"/>
      <c r="G689" s="44"/>
      <c r="H689" s="17"/>
      <c r="I689" s="45"/>
      <c r="J689" s="45"/>
      <c r="K689" s="39">
        <f t="shared" si="15"/>
        <v>0</v>
      </c>
      <c r="L689" s="39">
        <f t="shared" si="16"/>
        <v>0</v>
      </c>
      <c r="M689" s="5">
        <f t="shared" si="17"/>
        <v>0</v>
      </c>
    </row>
    <row r="690" ht="15.75" customHeight="1">
      <c r="E690" s="39"/>
      <c r="F690" s="45"/>
      <c r="G690" s="44"/>
      <c r="H690" s="17"/>
      <c r="I690" s="45"/>
      <c r="J690" s="45"/>
      <c r="K690" s="39">
        <f t="shared" si="15"/>
        <v>0</v>
      </c>
      <c r="L690" s="39">
        <f t="shared" si="16"/>
        <v>0</v>
      </c>
      <c r="M690" s="5">
        <f t="shared" si="17"/>
        <v>0</v>
      </c>
    </row>
    <row r="691" ht="15.75" customHeight="1">
      <c r="E691" s="39"/>
      <c r="F691" s="45"/>
      <c r="G691" s="44"/>
      <c r="H691" s="17"/>
      <c r="I691" s="45"/>
      <c r="J691" s="45"/>
      <c r="K691" s="39">
        <f t="shared" si="15"/>
        <v>0</v>
      </c>
      <c r="L691" s="39">
        <f t="shared" si="16"/>
        <v>0</v>
      </c>
      <c r="M691" s="5">
        <f t="shared" si="17"/>
        <v>0</v>
      </c>
    </row>
    <row r="692" ht="15.75" customHeight="1">
      <c r="E692" s="39"/>
      <c r="F692" s="45"/>
      <c r="G692" s="44"/>
      <c r="H692" s="17"/>
      <c r="I692" s="45"/>
      <c r="J692" s="45"/>
      <c r="K692" s="39">
        <f t="shared" si="15"/>
        <v>0</v>
      </c>
      <c r="L692" s="39">
        <f t="shared" si="16"/>
        <v>0</v>
      </c>
      <c r="M692" s="5">
        <f t="shared" si="17"/>
        <v>0</v>
      </c>
    </row>
    <row r="693" ht="15.75" customHeight="1">
      <c r="E693" s="39"/>
      <c r="F693" s="45"/>
      <c r="G693" s="44"/>
      <c r="H693" s="17"/>
      <c r="I693" s="45"/>
      <c r="J693" s="45"/>
      <c r="K693" s="39">
        <f t="shared" si="15"/>
        <v>0</v>
      </c>
      <c r="L693" s="39">
        <f t="shared" si="16"/>
        <v>0</v>
      </c>
      <c r="M693" s="5">
        <f t="shared" si="17"/>
        <v>0</v>
      </c>
    </row>
    <row r="694" ht="15.75" customHeight="1">
      <c r="E694" s="39"/>
      <c r="F694" s="45"/>
      <c r="G694" s="44"/>
      <c r="H694" s="17"/>
      <c r="I694" s="45"/>
      <c r="J694" s="45"/>
      <c r="K694" s="39">
        <f t="shared" si="15"/>
        <v>0</v>
      </c>
      <c r="L694" s="39">
        <f t="shared" si="16"/>
        <v>0</v>
      </c>
      <c r="M694" s="5">
        <f t="shared" si="17"/>
        <v>0</v>
      </c>
    </row>
    <row r="695" ht="15.75" customHeight="1">
      <c r="E695" s="39"/>
      <c r="F695" s="45"/>
      <c r="G695" s="44"/>
      <c r="H695" s="17"/>
      <c r="I695" s="45"/>
      <c r="J695" s="45"/>
      <c r="K695" s="39">
        <f t="shared" si="15"/>
        <v>0</v>
      </c>
      <c r="L695" s="39">
        <f t="shared" si="16"/>
        <v>0</v>
      </c>
      <c r="M695" s="5">
        <f t="shared" si="17"/>
        <v>0</v>
      </c>
    </row>
    <row r="696" ht="15.75" customHeight="1">
      <c r="E696" s="39"/>
      <c r="F696" s="45"/>
      <c r="G696" s="44"/>
      <c r="H696" s="17"/>
      <c r="I696" s="45"/>
      <c r="J696" s="45"/>
      <c r="K696" s="39">
        <f t="shared" si="15"/>
        <v>0</v>
      </c>
      <c r="L696" s="39">
        <f t="shared" si="16"/>
        <v>0</v>
      </c>
      <c r="M696" s="5">
        <f t="shared" si="17"/>
        <v>0</v>
      </c>
    </row>
    <row r="697" ht="15.75" customHeight="1">
      <c r="E697" s="39"/>
      <c r="F697" s="45"/>
      <c r="G697" s="44"/>
      <c r="H697" s="17"/>
      <c r="I697" s="45"/>
      <c r="J697" s="45"/>
      <c r="K697" s="39">
        <f t="shared" si="15"/>
        <v>0</v>
      </c>
      <c r="L697" s="39">
        <f t="shared" si="16"/>
        <v>0</v>
      </c>
      <c r="M697" s="5">
        <f t="shared" si="17"/>
        <v>0</v>
      </c>
    </row>
    <row r="698" ht="15.75" customHeight="1">
      <c r="E698" s="39"/>
      <c r="F698" s="45"/>
      <c r="G698" s="44"/>
      <c r="H698" s="17"/>
      <c r="I698" s="45"/>
      <c r="J698" s="45"/>
      <c r="K698" s="39">
        <f t="shared" si="15"/>
        <v>0</v>
      </c>
      <c r="L698" s="39">
        <f t="shared" si="16"/>
        <v>0</v>
      </c>
      <c r="M698" s="5">
        <f t="shared" si="17"/>
        <v>0</v>
      </c>
    </row>
    <row r="699" ht="15.75" customHeight="1">
      <c r="E699" s="39"/>
      <c r="F699" s="45"/>
      <c r="G699" s="44"/>
      <c r="H699" s="17"/>
      <c r="I699" s="45"/>
      <c r="J699" s="45"/>
      <c r="K699" s="39">
        <f t="shared" si="15"/>
        <v>0</v>
      </c>
      <c r="L699" s="39">
        <f t="shared" si="16"/>
        <v>0</v>
      </c>
      <c r="M699" s="5">
        <f t="shared" si="17"/>
        <v>0</v>
      </c>
    </row>
    <row r="700" ht="15.75" customHeight="1">
      <c r="E700" s="39"/>
      <c r="F700" s="45"/>
      <c r="G700" s="44"/>
      <c r="H700" s="17"/>
      <c r="I700" s="45"/>
      <c r="J700" s="45"/>
      <c r="K700" s="39">
        <f t="shared" si="15"/>
        <v>0</v>
      </c>
      <c r="L700" s="39">
        <f t="shared" si="16"/>
        <v>0</v>
      </c>
      <c r="M700" s="5">
        <f t="shared" si="17"/>
        <v>0</v>
      </c>
    </row>
    <row r="701" ht="15.75" customHeight="1">
      <c r="E701" s="39"/>
      <c r="F701" s="45"/>
      <c r="G701" s="44"/>
      <c r="H701" s="17"/>
      <c r="I701" s="45"/>
      <c r="J701" s="45"/>
      <c r="K701" s="39">
        <f t="shared" si="15"/>
        <v>0</v>
      </c>
      <c r="L701" s="39">
        <f t="shared" si="16"/>
        <v>0</v>
      </c>
      <c r="M701" s="5">
        <f t="shared" si="17"/>
        <v>0</v>
      </c>
    </row>
    <row r="702" ht="15.75" customHeight="1">
      <c r="E702" s="39"/>
      <c r="F702" s="45"/>
      <c r="G702" s="44"/>
      <c r="H702" s="17"/>
      <c r="I702" s="45"/>
      <c r="J702" s="45"/>
      <c r="K702" s="39">
        <f t="shared" si="15"/>
        <v>0</v>
      </c>
      <c r="L702" s="39">
        <f t="shared" si="16"/>
        <v>0</v>
      </c>
      <c r="M702" s="5">
        <f t="shared" si="17"/>
        <v>0</v>
      </c>
    </row>
    <row r="703" ht="15.75" customHeight="1">
      <c r="E703" s="39"/>
      <c r="F703" s="45"/>
      <c r="G703" s="44"/>
      <c r="H703" s="17"/>
      <c r="I703" s="45"/>
      <c r="J703" s="45"/>
      <c r="K703" s="39">
        <f t="shared" si="15"/>
        <v>0</v>
      </c>
      <c r="L703" s="39">
        <f t="shared" si="16"/>
        <v>0</v>
      </c>
      <c r="M703" s="5">
        <f t="shared" si="17"/>
        <v>0</v>
      </c>
    </row>
    <row r="704" ht="15.75" customHeight="1">
      <c r="E704" s="39"/>
      <c r="F704" s="45"/>
      <c r="G704" s="44"/>
      <c r="H704" s="17"/>
      <c r="I704" s="45"/>
      <c r="J704" s="45"/>
      <c r="K704" s="39">
        <f t="shared" si="15"/>
        <v>0</v>
      </c>
      <c r="L704" s="39">
        <f t="shared" si="16"/>
        <v>0</v>
      </c>
      <c r="M704" s="5">
        <f t="shared" si="17"/>
        <v>0</v>
      </c>
    </row>
    <row r="705" ht="15.75" customHeight="1">
      <c r="E705" s="39"/>
      <c r="F705" s="45"/>
      <c r="G705" s="44"/>
      <c r="H705" s="17"/>
      <c r="I705" s="45"/>
      <c r="J705" s="45"/>
      <c r="K705" s="39">
        <f t="shared" si="15"/>
        <v>0</v>
      </c>
      <c r="L705" s="39">
        <f t="shared" si="16"/>
        <v>0</v>
      </c>
      <c r="M705" s="5">
        <f t="shared" si="17"/>
        <v>0</v>
      </c>
    </row>
    <row r="706" ht="15.75" customHeight="1">
      <c r="E706" s="39"/>
      <c r="F706" s="45"/>
      <c r="G706" s="44"/>
      <c r="H706" s="17"/>
      <c r="I706" s="45"/>
      <c r="J706" s="45"/>
      <c r="K706" s="39">
        <f t="shared" si="15"/>
        <v>0</v>
      </c>
      <c r="L706" s="39">
        <f t="shared" si="16"/>
        <v>0</v>
      </c>
      <c r="M706" s="5">
        <f t="shared" si="17"/>
        <v>0</v>
      </c>
    </row>
    <row r="707" ht="15.75" customHeight="1">
      <c r="E707" s="39"/>
      <c r="F707" s="45"/>
      <c r="G707" s="44"/>
      <c r="H707" s="17"/>
      <c r="I707" s="45"/>
      <c r="J707" s="45"/>
      <c r="K707" s="39">
        <f t="shared" si="15"/>
        <v>0</v>
      </c>
      <c r="L707" s="39">
        <f t="shared" si="16"/>
        <v>0</v>
      </c>
      <c r="M707" s="5">
        <f t="shared" si="17"/>
        <v>0</v>
      </c>
    </row>
    <row r="708" ht="15.75" customHeight="1">
      <c r="E708" s="39"/>
      <c r="F708" s="45"/>
      <c r="G708" s="44"/>
      <c r="H708" s="17"/>
      <c r="I708" s="45"/>
      <c r="J708" s="45"/>
      <c r="K708" s="39">
        <f t="shared" si="15"/>
        <v>0</v>
      </c>
      <c r="L708" s="39">
        <f t="shared" si="16"/>
        <v>0</v>
      </c>
      <c r="M708" s="5">
        <f t="shared" si="17"/>
        <v>0</v>
      </c>
    </row>
    <row r="709" ht="15.75" customHeight="1">
      <c r="E709" s="39"/>
      <c r="F709" s="45"/>
      <c r="G709" s="44"/>
      <c r="H709" s="17"/>
      <c r="I709" s="45"/>
      <c r="J709" s="45"/>
      <c r="K709" s="39">
        <f t="shared" si="15"/>
        <v>0</v>
      </c>
      <c r="L709" s="39">
        <f t="shared" si="16"/>
        <v>0</v>
      </c>
      <c r="M709" s="5">
        <f t="shared" si="17"/>
        <v>0</v>
      </c>
    </row>
    <row r="710" ht="15.75" customHeight="1">
      <c r="E710" s="39"/>
      <c r="F710" s="45"/>
      <c r="G710" s="44"/>
      <c r="H710" s="17"/>
      <c r="I710" s="45"/>
      <c r="J710" s="45"/>
      <c r="K710" s="39">
        <f t="shared" si="15"/>
        <v>0</v>
      </c>
      <c r="L710" s="39">
        <f t="shared" si="16"/>
        <v>0</v>
      </c>
      <c r="M710" s="5">
        <f t="shared" si="17"/>
        <v>0</v>
      </c>
    </row>
    <row r="711" ht="15.75" customHeight="1">
      <c r="E711" s="39"/>
      <c r="F711" s="45"/>
      <c r="G711" s="44"/>
      <c r="H711" s="17"/>
      <c r="I711" s="45"/>
      <c r="J711" s="45"/>
      <c r="K711" s="39">
        <f t="shared" si="15"/>
        <v>0</v>
      </c>
      <c r="L711" s="39">
        <f t="shared" si="16"/>
        <v>0</v>
      </c>
      <c r="M711" s="5">
        <f t="shared" si="17"/>
        <v>0</v>
      </c>
    </row>
    <row r="712" ht="15.75" customHeight="1">
      <c r="E712" s="39"/>
      <c r="F712" s="45"/>
      <c r="G712" s="44"/>
      <c r="H712" s="17"/>
      <c r="I712" s="45"/>
      <c r="J712" s="45"/>
      <c r="K712" s="39">
        <f t="shared" si="15"/>
        <v>0</v>
      </c>
      <c r="L712" s="39">
        <f t="shared" si="16"/>
        <v>0</v>
      </c>
      <c r="M712" s="5">
        <f t="shared" si="17"/>
        <v>0</v>
      </c>
    </row>
    <row r="713" ht="15.75" customHeight="1">
      <c r="E713" s="39"/>
      <c r="F713" s="45"/>
      <c r="G713" s="44"/>
      <c r="H713" s="17"/>
      <c r="I713" s="45"/>
      <c r="J713" s="45"/>
      <c r="K713" s="39">
        <f t="shared" si="15"/>
        <v>0</v>
      </c>
      <c r="L713" s="39">
        <f t="shared" si="16"/>
        <v>0</v>
      </c>
      <c r="M713" s="5">
        <f t="shared" si="17"/>
        <v>0</v>
      </c>
    </row>
    <row r="714" ht="15.75" customHeight="1">
      <c r="E714" s="39"/>
      <c r="F714" s="45"/>
      <c r="G714" s="44"/>
      <c r="H714" s="17"/>
      <c r="I714" s="45"/>
      <c r="J714" s="45"/>
      <c r="K714" s="39">
        <f t="shared" si="15"/>
        <v>0</v>
      </c>
      <c r="L714" s="39">
        <f t="shared" si="16"/>
        <v>0</v>
      </c>
      <c r="M714" s="5">
        <f t="shared" si="17"/>
        <v>0</v>
      </c>
    </row>
    <row r="715" ht="15.75" customHeight="1">
      <c r="E715" s="39"/>
      <c r="F715" s="45"/>
      <c r="G715" s="44"/>
      <c r="H715" s="17"/>
      <c r="I715" s="45"/>
      <c r="J715" s="45"/>
      <c r="K715" s="39">
        <f t="shared" si="15"/>
        <v>0</v>
      </c>
      <c r="L715" s="39">
        <f t="shared" si="16"/>
        <v>0</v>
      </c>
      <c r="M715" s="5">
        <f t="shared" si="17"/>
        <v>0</v>
      </c>
    </row>
    <row r="716" ht="15.75" customHeight="1">
      <c r="E716" s="39"/>
      <c r="F716" s="45"/>
      <c r="G716" s="44"/>
      <c r="H716" s="17"/>
      <c r="I716" s="45"/>
      <c r="J716" s="45"/>
      <c r="K716" s="39">
        <f t="shared" si="15"/>
        <v>0</v>
      </c>
      <c r="L716" s="39">
        <f t="shared" si="16"/>
        <v>0</v>
      </c>
      <c r="M716" s="5">
        <f t="shared" si="17"/>
        <v>0</v>
      </c>
    </row>
    <row r="717" ht="15.75" customHeight="1">
      <c r="E717" s="39"/>
      <c r="F717" s="45"/>
      <c r="G717" s="44"/>
      <c r="H717" s="17"/>
      <c r="I717" s="45"/>
      <c r="J717" s="45"/>
      <c r="K717" s="39">
        <f t="shared" si="15"/>
        <v>0</v>
      </c>
      <c r="L717" s="39">
        <f t="shared" si="16"/>
        <v>0</v>
      </c>
      <c r="M717" s="5">
        <f t="shared" si="17"/>
        <v>0</v>
      </c>
    </row>
    <row r="718" ht="15.75" customHeight="1">
      <c r="E718" s="39"/>
      <c r="F718" s="45"/>
      <c r="G718" s="44"/>
      <c r="H718" s="17"/>
      <c r="I718" s="45"/>
      <c r="J718" s="45"/>
      <c r="K718" s="39">
        <f t="shared" si="15"/>
        <v>0</v>
      </c>
      <c r="L718" s="39">
        <f t="shared" si="16"/>
        <v>0</v>
      </c>
      <c r="M718" s="5">
        <f t="shared" si="17"/>
        <v>0</v>
      </c>
    </row>
    <row r="719" ht="15.75" customHeight="1">
      <c r="E719" s="39"/>
      <c r="F719" s="45"/>
      <c r="G719" s="44"/>
      <c r="H719" s="17"/>
      <c r="I719" s="45"/>
      <c r="J719" s="45"/>
      <c r="K719" s="39">
        <f t="shared" si="15"/>
        <v>0</v>
      </c>
      <c r="L719" s="39">
        <f t="shared" si="16"/>
        <v>0</v>
      </c>
      <c r="M719" s="5">
        <f t="shared" si="17"/>
        <v>0</v>
      </c>
    </row>
    <row r="720" ht="15.75" customHeight="1">
      <c r="E720" s="39"/>
      <c r="F720" s="45"/>
      <c r="G720" s="44"/>
      <c r="H720" s="17"/>
      <c r="I720" s="45"/>
      <c r="J720" s="45"/>
      <c r="K720" s="39">
        <f t="shared" si="15"/>
        <v>0</v>
      </c>
      <c r="L720" s="39">
        <f t="shared" si="16"/>
        <v>0</v>
      </c>
      <c r="M720" s="5">
        <f t="shared" si="17"/>
        <v>0</v>
      </c>
    </row>
    <row r="721" ht="15.75" customHeight="1">
      <c r="E721" s="39"/>
      <c r="F721" s="45"/>
      <c r="G721" s="44"/>
      <c r="H721" s="17"/>
      <c r="I721" s="45"/>
      <c r="J721" s="45"/>
      <c r="K721" s="39">
        <f t="shared" si="15"/>
        <v>0</v>
      </c>
      <c r="L721" s="39">
        <f t="shared" si="16"/>
        <v>0</v>
      </c>
      <c r="M721" s="5">
        <f t="shared" si="17"/>
        <v>0</v>
      </c>
    </row>
    <row r="722" ht="15.75" customHeight="1">
      <c r="E722" s="39"/>
      <c r="F722" s="45"/>
      <c r="G722" s="44"/>
      <c r="H722" s="17"/>
      <c r="I722" s="45"/>
      <c r="J722" s="45"/>
      <c r="K722" s="39">
        <f t="shared" si="15"/>
        <v>0</v>
      </c>
      <c r="L722" s="39">
        <f t="shared" si="16"/>
        <v>0</v>
      </c>
      <c r="M722" s="5">
        <f t="shared" si="17"/>
        <v>0</v>
      </c>
    </row>
    <row r="723" ht="15.75" customHeight="1">
      <c r="E723" s="39"/>
      <c r="F723" s="45"/>
      <c r="G723" s="44"/>
      <c r="H723" s="17"/>
      <c r="I723" s="45"/>
      <c r="J723" s="45"/>
      <c r="K723" s="39">
        <f t="shared" si="15"/>
        <v>0</v>
      </c>
      <c r="L723" s="39">
        <f t="shared" si="16"/>
        <v>0</v>
      </c>
      <c r="M723" s="5">
        <f t="shared" si="17"/>
        <v>0</v>
      </c>
    </row>
    <row r="724" ht="15.75" customHeight="1">
      <c r="E724" s="39"/>
      <c r="F724" s="45"/>
      <c r="G724" s="44"/>
      <c r="H724" s="17"/>
      <c r="I724" s="45"/>
      <c r="J724" s="45"/>
      <c r="K724" s="39">
        <f t="shared" si="15"/>
        <v>0</v>
      </c>
      <c r="L724" s="39">
        <f t="shared" si="16"/>
        <v>0</v>
      </c>
      <c r="M724" s="5">
        <f t="shared" si="17"/>
        <v>0</v>
      </c>
    </row>
    <row r="725" ht="15.75" customHeight="1">
      <c r="E725" s="39"/>
      <c r="F725" s="45"/>
      <c r="G725" s="44"/>
      <c r="H725" s="17"/>
      <c r="I725" s="45"/>
      <c r="J725" s="45"/>
      <c r="K725" s="39">
        <f t="shared" si="15"/>
        <v>0</v>
      </c>
      <c r="L725" s="39">
        <f t="shared" si="16"/>
        <v>0</v>
      </c>
      <c r="M725" s="5">
        <f t="shared" si="17"/>
        <v>0</v>
      </c>
    </row>
    <row r="726" ht="15.75" customHeight="1">
      <c r="E726" s="39"/>
      <c r="F726" s="45"/>
      <c r="G726" s="44"/>
      <c r="H726" s="17"/>
      <c r="I726" s="45"/>
      <c r="J726" s="45"/>
      <c r="K726" s="39">
        <f t="shared" si="15"/>
        <v>0</v>
      </c>
      <c r="L726" s="39">
        <f t="shared" si="16"/>
        <v>0</v>
      </c>
      <c r="M726" s="5">
        <f t="shared" si="17"/>
        <v>0</v>
      </c>
    </row>
    <row r="727" ht="15.75" customHeight="1">
      <c r="E727" s="39"/>
      <c r="F727" s="45"/>
      <c r="G727" s="44"/>
      <c r="H727" s="17"/>
      <c r="I727" s="45"/>
      <c r="J727" s="45"/>
      <c r="K727" s="39">
        <f t="shared" si="15"/>
        <v>0</v>
      </c>
      <c r="L727" s="39">
        <f t="shared" si="16"/>
        <v>0</v>
      </c>
      <c r="M727" s="5">
        <f t="shared" si="17"/>
        <v>0</v>
      </c>
    </row>
    <row r="728" ht="15.75" customHeight="1">
      <c r="E728" s="39"/>
      <c r="F728" s="45"/>
      <c r="G728" s="44"/>
      <c r="H728" s="17"/>
      <c r="I728" s="45"/>
      <c r="J728" s="45"/>
      <c r="K728" s="39">
        <f t="shared" si="15"/>
        <v>0</v>
      </c>
      <c r="L728" s="39">
        <f t="shared" si="16"/>
        <v>0</v>
      </c>
      <c r="M728" s="5">
        <f t="shared" si="17"/>
        <v>0</v>
      </c>
    </row>
    <row r="729" ht="15.75" customHeight="1">
      <c r="E729" s="39"/>
      <c r="F729" s="45"/>
      <c r="G729" s="44"/>
      <c r="H729" s="17"/>
      <c r="I729" s="45"/>
      <c r="J729" s="45"/>
      <c r="K729" s="39">
        <f t="shared" si="15"/>
        <v>0</v>
      </c>
      <c r="L729" s="39">
        <f t="shared" si="16"/>
        <v>0</v>
      </c>
      <c r="M729" s="5">
        <f t="shared" si="17"/>
        <v>0</v>
      </c>
    </row>
    <row r="730" ht="15.75" customHeight="1">
      <c r="E730" s="39"/>
      <c r="F730" s="45"/>
      <c r="G730" s="44"/>
      <c r="H730" s="17"/>
      <c r="I730" s="45"/>
      <c r="J730" s="45"/>
      <c r="K730" s="39">
        <f t="shared" si="15"/>
        <v>0</v>
      </c>
      <c r="L730" s="39">
        <f t="shared" si="16"/>
        <v>0</v>
      </c>
      <c r="M730" s="5">
        <f t="shared" si="17"/>
        <v>0</v>
      </c>
    </row>
    <row r="731" ht="15.75" customHeight="1">
      <c r="E731" s="39"/>
      <c r="F731" s="45"/>
      <c r="G731" s="44"/>
      <c r="H731" s="17"/>
      <c r="I731" s="45"/>
      <c r="J731" s="45"/>
      <c r="K731" s="39">
        <f t="shared" si="15"/>
        <v>0</v>
      </c>
      <c r="L731" s="39">
        <f t="shared" si="16"/>
        <v>0</v>
      </c>
      <c r="M731" s="5">
        <f t="shared" si="17"/>
        <v>0</v>
      </c>
    </row>
    <row r="732" ht="15.75" customHeight="1">
      <c r="E732" s="39"/>
      <c r="F732" s="45"/>
      <c r="G732" s="44"/>
      <c r="H732" s="17"/>
      <c r="I732" s="45"/>
      <c r="J732" s="45"/>
      <c r="K732" s="39">
        <f t="shared" si="15"/>
        <v>0</v>
      </c>
      <c r="L732" s="39">
        <f t="shared" si="16"/>
        <v>0</v>
      </c>
      <c r="M732" s="5">
        <f t="shared" si="17"/>
        <v>0</v>
      </c>
    </row>
    <row r="733" ht="15.75" customHeight="1">
      <c r="E733" s="39"/>
      <c r="F733" s="45"/>
      <c r="G733" s="44"/>
      <c r="H733" s="17"/>
      <c r="I733" s="45"/>
      <c r="J733" s="45"/>
      <c r="K733" s="39">
        <f t="shared" si="15"/>
        <v>0</v>
      </c>
      <c r="L733" s="39">
        <f t="shared" si="16"/>
        <v>0</v>
      </c>
      <c r="M733" s="5">
        <f t="shared" si="17"/>
        <v>0</v>
      </c>
    </row>
    <row r="734" ht="15.75" customHeight="1">
      <c r="E734" s="39"/>
      <c r="F734" s="45"/>
      <c r="G734" s="44"/>
      <c r="H734" s="17"/>
      <c r="I734" s="45"/>
      <c r="J734" s="45"/>
      <c r="K734" s="39">
        <f t="shared" si="15"/>
        <v>0</v>
      </c>
      <c r="L734" s="39">
        <f t="shared" si="16"/>
        <v>0</v>
      </c>
      <c r="M734" s="5">
        <f t="shared" si="17"/>
        <v>0</v>
      </c>
    </row>
    <row r="735" ht="15.75" customHeight="1">
      <c r="E735" s="39"/>
      <c r="F735" s="45"/>
      <c r="G735" s="44"/>
      <c r="H735" s="17"/>
      <c r="I735" s="45"/>
      <c r="J735" s="45"/>
      <c r="K735" s="39">
        <f t="shared" si="15"/>
        <v>0</v>
      </c>
      <c r="L735" s="39">
        <f t="shared" si="16"/>
        <v>0</v>
      </c>
      <c r="M735" s="5">
        <f t="shared" si="17"/>
        <v>0</v>
      </c>
    </row>
    <row r="736" ht="15.75" customHeight="1">
      <c r="E736" s="39"/>
      <c r="F736" s="45"/>
      <c r="G736" s="44"/>
      <c r="H736" s="17"/>
      <c r="I736" s="45"/>
      <c r="J736" s="45"/>
      <c r="K736" s="39">
        <f t="shared" si="15"/>
        <v>0</v>
      </c>
      <c r="L736" s="39">
        <f t="shared" si="16"/>
        <v>0</v>
      </c>
      <c r="M736" s="5">
        <f t="shared" si="17"/>
        <v>0</v>
      </c>
    </row>
    <row r="737" ht="15.75" customHeight="1">
      <c r="E737" s="39"/>
      <c r="F737" s="45"/>
      <c r="G737" s="44"/>
      <c r="H737" s="17"/>
      <c r="I737" s="45"/>
      <c r="J737" s="45"/>
      <c r="K737" s="39">
        <f t="shared" si="15"/>
        <v>0</v>
      </c>
      <c r="L737" s="39">
        <f t="shared" si="16"/>
        <v>0</v>
      </c>
      <c r="M737" s="5">
        <f t="shared" si="17"/>
        <v>0</v>
      </c>
    </row>
    <row r="738" ht="15.75" customHeight="1">
      <c r="E738" s="39"/>
      <c r="F738" s="45"/>
      <c r="G738" s="44"/>
      <c r="H738" s="17"/>
      <c r="I738" s="45"/>
      <c r="J738" s="45"/>
      <c r="K738" s="39">
        <f t="shared" si="15"/>
        <v>0</v>
      </c>
      <c r="L738" s="39">
        <f t="shared" si="16"/>
        <v>0</v>
      </c>
      <c r="M738" s="5">
        <f t="shared" si="17"/>
        <v>0</v>
      </c>
    </row>
    <row r="739" ht="15.75" customHeight="1">
      <c r="E739" s="39"/>
      <c r="F739" s="45"/>
      <c r="G739" s="44"/>
      <c r="H739" s="17"/>
      <c r="I739" s="45"/>
      <c r="J739" s="45"/>
      <c r="K739" s="39">
        <f t="shared" si="15"/>
        <v>0</v>
      </c>
      <c r="L739" s="39">
        <f t="shared" si="16"/>
        <v>0</v>
      </c>
      <c r="M739" s="5">
        <f t="shared" si="17"/>
        <v>0</v>
      </c>
    </row>
    <row r="740" ht="15.75" customHeight="1">
      <c r="E740" s="39"/>
      <c r="F740" s="45"/>
      <c r="G740" s="44"/>
      <c r="H740" s="17"/>
      <c r="I740" s="45"/>
      <c r="J740" s="45"/>
      <c r="K740" s="39">
        <f t="shared" si="15"/>
        <v>0</v>
      </c>
      <c r="L740" s="39">
        <f t="shared" si="16"/>
        <v>0</v>
      </c>
      <c r="M740" s="5">
        <f t="shared" si="17"/>
        <v>0</v>
      </c>
    </row>
    <row r="741" ht="15.75" customHeight="1">
      <c r="E741" s="39"/>
      <c r="F741" s="45"/>
      <c r="G741" s="44"/>
      <c r="H741" s="17"/>
      <c r="I741" s="45"/>
      <c r="J741" s="45"/>
      <c r="K741" s="39">
        <f t="shared" si="15"/>
        <v>0</v>
      </c>
      <c r="L741" s="39">
        <f t="shared" si="16"/>
        <v>0</v>
      </c>
      <c r="M741" s="5">
        <f t="shared" si="17"/>
        <v>0</v>
      </c>
    </row>
    <row r="742" ht="15.75" customHeight="1">
      <c r="E742" s="39"/>
      <c r="F742" s="45"/>
      <c r="G742" s="44"/>
      <c r="H742" s="17"/>
      <c r="I742" s="45"/>
      <c r="J742" s="45"/>
      <c r="K742" s="39">
        <f t="shared" si="15"/>
        <v>0</v>
      </c>
      <c r="L742" s="39">
        <f t="shared" si="16"/>
        <v>0</v>
      </c>
      <c r="M742" s="5">
        <f t="shared" si="17"/>
        <v>0</v>
      </c>
    </row>
    <row r="743" ht="15.75" customHeight="1">
      <c r="E743" s="39"/>
      <c r="F743" s="45"/>
      <c r="G743" s="44"/>
      <c r="H743" s="17"/>
      <c r="I743" s="45"/>
      <c r="J743" s="45"/>
      <c r="K743" s="39">
        <f t="shared" si="15"/>
        <v>0</v>
      </c>
      <c r="L743" s="39">
        <f t="shared" si="16"/>
        <v>0</v>
      </c>
      <c r="M743" s="5">
        <f t="shared" si="17"/>
        <v>0</v>
      </c>
    </row>
    <row r="744" ht="15.75" customHeight="1">
      <c r="E744" s="39"/>
      <c r="F744" s="45"/>
      <c r="G744" s="44"/>
      <c r="H744" s="17"/>
      <c r="I744" s="45"/>
      <c r="J744" s="45"/>
      <c r="K744" s="39">
        <f t="shared" si="15"/>
        <v>0</v>
      </c>
      <c r="L744" s="39">
        <f t="shared" si="16"/>
        <v>0</v>
      </c>
      <c r="M744" s="5">
        <f t="shared" si="17"/>
        <v>0</v>
      </c>
    </row>
    <row r="745" ht="15.75" customHeight="1">
      <c r="E745" s="39"/>
      <c r="F745" s="45"/>
      <c r="G745" s="44"/>
      <c r="H745" s="17"/>
      <c r="I745" s="45"/>
      <c r="J745" s="45"/>
      <c r="K745" s="39">
        <f t="shared" si="15"/>
        <v>0</v>
      </c>
      <c r="L745" s="39">
        <f t="shared" si="16"/>
        <v>0</v>
      </c>
      <c r="M745" s="5">
        <f t="shared" si="17"/>
        <v>0</v>
      </c>
    </row>
    <row r="746" ht="15.75" customHeight="1">
      <c r="E746" s="39"/>
      <c r="F746" s="45"/>
      <c r="G746" s="44"/>
      <c r="H746" s="17"/>
      <c r="I746" s="45"/>
      <c r="J746" s="45"/>
      <c r="K746" s="39">
        <f t="shared" si="15"/>
        <v>0</v>
      </c>
      <c r="L746" s="39">
        <f t="shared" si="16"/>
        <v>0</v>
      </c>
      <c r="M746" s="5">
        <f t="shared" si="17"/>
        <v>0</v>
      </c>
    </row>
    <row r="747" ht="15.75" customHeight="1">
      <c r="E747" s="39"/>
      <c r="F747" s="45"/>
      <c r="G747" s="44"/>
      <c r="H747" s="17"/>
      <c r="I747" s="45"/>
      <c r="J747" s="45"/>
      <c r="K747" s="39">
        <f t="shared" si="15"/>
        <v>0</v>
      </c>
      <c r="L747" s="39">
        <f t="shared" si="16"/>
        <v>0</v>
      </c>
      <c r="M747" s="5">
        <f t="shared" si="17"/>
        <v>0</v>
      </c>
    </row>
    <row r="748" ht="15.75" customHeight="1">
      <c r="E748" s="39"/>
      <c r="F748" s="45"/>
      <c r="G748" s="44"/>
      <c r="H748" s="17"/>
      <c r="I748" s="45"/>
      <c r="J748" s="45"/>
      <c r="K748" s="39">
        <f t="shared" si="15"/>
        <v>0</v>
      </c>
      <c r="L748" s="39">
        <f t="shared" si="16"/>
        <v>0</v>
      </c>
      <c r="M748" s="5">
        <f t="shared" si="17"/>
        <v>0</v>
      </c>
    </row>
    <row r="749" ht="15.75" customHeight="1">
      <c r="E749" s="39"/>
      <c r="F749" s="45"/>
      <c r="G749" s="44"/>
      <c r="H749" s="17"/>
      <c r="I749" s="45"/>
      <c r="J749" s="45"/>
      <c r="K749" s="39">
        <f t="shared" si="15"/>
        <v>0</v>
      </c>
      <c r="L749" s="39">
        <f t="shared" si="16"/>
        <v>0</v>
      </c>
      <c r="M749" s="5">
        <f t="shared" si="17"/>
        <v>0</v>
      </c>
    </row>
    <row r="750" ht="15.75" customHeight="1">
      <c r="E750" s="39"/>
      <c r="F750" s="45"/>
      <c r="G750" s="44"/>
      <c r="H750" s="17"/>
      <c r="I750" s="45"/>
      <c r="J750" s="45"/>
      <c r="K750" s="39">
        <f t="shared" si="15"/>
        <v>0</v>
      </c>
      <c r="L750" s="39">
        <f t="shared" si="16"/>
        <v>0</v>
      </c>
      <c r="M750" s="5">
        <f t="shared" si="17"/>
        <v>0</v>
      </c>
    </row>
    <row r="751" ht="15.75" customHeight="1">
      <c r="E751" s="39"/>
      <c r="F751" s="45"/>
      <c r="G751" s="44"/>
      <c r="H751" s="17"/>
      <c r="I751" s="45"/>
      <c r="J751" s="45"/>
      <c r="K751" s="39">
        <f t="shared" si="15"/>
        <v>0</v>
      </c>
      <c r="L751" s="39">
        <f t="shared" si="16"/>
        <v>0</v>
      </c>
      <c r="M751" s="5">
        <f t="shared" si="17"/>
        <v>0</v>
      </c>
    </row>
    <row r="752" ht="15.75" customHeight="1">
      <c r="E752" s="39"/>
      <c r="F752" s="45"/>
      <c r="G752" s="44"/>
      <c r="H752" s="17"/>
      <c r="I752" s="45"/>
      <c r="J752" s="45"/>
      <c r="K752" s="39">
        <f t="shared" si="15"/>
        <v>0</v>
      </c>
      <c r="L752" s="39">
        <f t="shared" si="16"/>
        <v>0</v>
      </c>
      <c r="M752" s="5">
        <f t="shared" si="17"/>
        <v>0</v>
      </c>
    </row>
    <row r="753" ht="15.75" customHeight="1">
      <c r="E753" s="39"/>
      <c r="F753" s="45"/>
      <c r="G753" s="44"/>
      <c r="H753" s="17"/>
      <c r="I753" s="45"/>
      <c r="J753" s="45"/>
      <c r="K753" s="39">
        <f t="shared" si="15"/>
        <v>0</v>
      </c>
      <c r="L753" s="39">
        <f t="shared" si="16"/>
        <v>0</v>
      </c>
      <c r="M753" s="5">
        <f t="shared" si="17"/>
        <v>0</v>
      </c>
    </row>
    <row r="754" ht="15.75" customHeight="1">
      <c r="E754" s="39"/>
      <c r="F754" s="45"/>
      <c r="G754" s="44"/>
      <c r="H754" s="17"/>
      <c r="I754" s="45"/>
      <c r="J754" s="45"/>
      <c r="K754" s="39">
        <f t="shared" si="15"/>
        <v>0</v>
      </c>
      <c r="L754" s="39">
        <f t="shared" si="16"/>
        <v>0</v>
      </c>
      <c r="M754" s="5">
        <f t="shared" si="17"/>
        <v>0</v>
      </c>
    </row>
    <row r="755" ht="15.75" customHeight="1">
      <c r="E755" s="39"/>
      <c r="F755" s="45"/>
      <c r="G755" s="44"/>
      <c r="H755" s="17"/>
      <c r="I755" s="45"/>
      <c r="J755" s="45"/>
      <c r="K755" s="39">
        <f t="shared" si="15"/>
        <v>0</v>
      </c>
      <c r="L755" s="39">
        <f t="shared" si="16"/>
        <v>0</v>
      </c>
      <c r="M755" s="5">
        <f t="shared" si="17"/>
        <v>0</v>
      </c>
    </row>
    <row r="756" ht="15.75" customHeight="1">
      <c r="E756" s="39"/>
      <c r="F756" s="45"/>
      <c r="G756" s="44"/>
      <c r="H756" s="17"/>
      <c r="I756" s="45"/>
      <c r="J756" s="45"/>
      <c r="K756" s="39">
        <f t="shared" si="15"/>
        <v>0</v>
      </c>
      <c r="L756" s="39">
        <f t="shared" si="16"/>
        <v>0</v>
      </c>
      <c r="M756" s="5">
        <f t="shared" si="17"/>
        <v>0</v>
      </c>
    </row>
    <row r="757" ht="15.75" customHeight="1">
      <c r="E757" s="39"/>
      <c r="F757" s="45"/>
      <c r="G757" s="44"/>
      <c r="H757" s="17"/>
      <c r="I757" s="45"/>
      <c r="J757" s="45"/>
      <c r="K757" s="39">
        <f t="shared" si="15"/>
        <v>0</v>
      </c>
      <c r="L757" s="39">
        <f t="shared" si="16"/>
        <v>0</v>
      </c>
      <c r="M757" s="5">
        <f t="shared" si="17"/>
        <v>0</v>
      </c>
    </row>
    <row r="758" ht="15.75" customHeight="1">
      <c r="E758" s="39"/>
      <c r="F758" s="45"/>
      <c r="G758" s="44"/>
      <c r="H758" s="17"/>
      <c r="I758" s="45"/>
      <c r="J758" s="45"/>
      <c r="K758" s="39">
        <f t="shared" si="15"/>
        <v>0</v>
      </c>
      <c r="L758" s="39">
        <f t="shared" si="16"/>
        <v>0</v>
      </c>
      <c r="M758" s="5">
        <f t="shared" si="17"/>
        <v>0</v>
      </c>
    </row>
    <row r="759" ht="15.75" customHeight="1">
      <c r="E759" s="39"/>
      <c r="F759" s="45"/>
      <c r="G759" s="44"/>
      <c r="H759" s="17"/>
      <c r="I759" s="45"/>
      <c r="J759" s="45"/>
      <c r="K759" s="39">
        <f t="shared" si="15"/>
        <v>0</v>
      </c>
      <c r="L759" s="39">
        <f t="shared" si="16"/>
        <v>0</v>
      </c>
      <c r="M759" s="5">
        <f t="shared" si="17"/>
        <v>0</v>
      </c>
    </row>
    <row r="760" ht="15.75" customHeight="1">
      <c r="E760" s="39"/>
      <c r="F760" s="45"/>
      <c r="G760" s="44"/>
      <c r="H760" s="17"/>
      <c r="I760" s="45"/>
      <c r="J760" s="45"/>
      <c r="K760" s="39">
        <f t="shared" si="15"/>
        <v>0</v>
      </c>
      <c r="L760" s="39">
        <f t="shared" si="16"/>
        <v>0</v>
      </c>
      <c r="M760" s="5">
        <f t="shared" si="17"/>
        <v>0</v>
      </c>
    </row>
    <row r="761" ht="15.75" customHeight="1">
      <c r="E761" s="39"/>
      <c r="F761" s="45"/>
      <c r="G761" s="44"/>
      <c r="H761" s="17"/>
      <c r="I761" s="45"/>
      <c r="J761" s="45"/>
      <c r="K761" s="39">
        <f t="shared" si="15"/>
        <v>0</v>
      </c>
      <c r="L761" s="39">
        <f t="shared" si="16"/>
        <v>0</v>
      </c>
      <c r="M761" s="5">
        <f t="shared" si="17"/>
        <v>0</v>
      </c>
    </row>
    <row r="762" ht="15.75" customHeight="1">
      <c r="E762" s="39"/>
      <c r="F762" s="45"/>
      <c r="G762" s="44"/>
      <c r="H762" s="17"/>
      <c r="I762" s="45"/>
      <c r="J762" s="45"/>
      <c r="K762" s="39">
        <f t="shared" si="15"/>
        <v>0</v>
      </c>
      <c r="L762" s="39">
        <f t="shared" si="16"/>
        <v>0</v>
      </c>
      <c r="M762" s="5">
        <f t="shared" si="17"/>
        <v>0</v>
      </c>
    </row>
    <row r="763" ht="15.75" customHeight="1">
      <c r="E763" s="39"/>
      <c r="F763" s="45"/>
      <c r="G763" s="44"/>
      <c r="H763" s="17"/>
      <c r="I763" s="45"/>
      <c r="J763" s="45"/>
      <c r="K763" s="39">
        <f t="shared" si="15"/>
        <v>0</v>
      </c>
      <c r="L763" s="39">
        <f t="shared" si="16"/>
        <v>0</v>
      </c>
      <c r="M763" s="5">
        <f t="shared" si="17"/>
        <v>0</v>
      </c>
    </row>
    <row r="764" ht="15.75" customHeight="1">
      <c r="E764" s="39"/>
      <c r="F764" s="45"/>
      <c r="G764" s="44"/>
      <c r="H764" s="17"/>
      <c r="I764" s="45"/>
      <c r="J764" s="45"/>
      <c r="K764" s="39">
        <f t="shared" si="15"/>
        <v>0</v>
      </c>
      <c r="L764" s="39">
        <f t="shared" si="16"/>
        <v>0</v>
      </c>
      <c r="M764" s="5">
        <f t="shared" si="17"/>
        <v>0</v>
      </c>
    </row>
    <row r="765" ht="15.75" customHeight="1">
      <c r="E765" s="39"/>
      <c r="F765" s="45"/>
      <c r="G765" s="44"/>
      <c r="H765" s="17"/>
      <c r="I765" s="45"/>
      <c r="J765" s="45"/>
      <c r="K765" s="39">
        <f t="shared" si="15"/>
        <v>0</v>
      </c>
      <c r="L765" s="39">
        <f t="shared" si="16"/>
        <v>0</v>
      </c>
      <c r="M765" s="5">
        <f t="shared" si="17"/>
        <v>0</v>
      </c>
    </row>
    <row r="766" ht="15.75" customHeight="1">
      <c r="E766" s="39"/>
      <c r="F766" s="45"/>
      <c r="G766" s="44"/>
      <c r="H766" s="17"/>
      <c r="I766" s="45"/>
      <c r="J766" s="45"/>
      <c r="K766" s="39">
        <f t="shared" si="15"/>
        <v>0</v>
      </c>
      <c r="L766" s="39">
        <f t="shared" si="16"/>
        <v>0</v>
      </c>
      <c r="M766" s="5">
        <f t="shared" si="17"/>
        <v>0</v>
      </c>
    </row>
    <row r="767" ht="15.75" customHeight="1">
      <c r="E767" s="39"/>
      <c r="F767" s="45"/>
      <c r="G767" s="44"/>
      <c r="H767" s="17"/>
      <c r="I767" s="45"/>
      <c r="J767" s="45"/>
      <c r="K767" s="39">
        <f t="shared" si="15"/>
        <v>0</v>
      </c>
      <c r="L767" s="39">
        <f t="shared" si="16"/>
        <v>0</v>
      </c>
      <c r="M767" s="5">
        <f t="shared" si="17"/>
        <v>0</v>
      </c>
    </row>
    <row r="768" ht="15.75" customHeight="1">
      <c r="E768" s="39"/>
      <c r="F768" s="45"/>
      <c r="G768" s="44"/>
      <c r="H768" s="17"/>
      <c r="I768" s="45"/>
      <c r="J768" s="45"/>
      <c r="K768" s="39">
        <f t="shared" si="15"/>
        <v>0</v>
      </c>
      <c r="L768" s="39">
        <f t="shared" si="16"/>
        <v>0</v>
      </c>
      <c r="M768" s="5">
        <f t="shared" si="17"/>
        <v>0</v>
      </c>
    </row>
    <row r="769" ht="15.75" customHeight="1">
      <c r="E769" s="39"/>
      <c r="F769" s="45"/>
      <c r="G769" s="44"/>
      <c r="H769" s="17"/>
      <c r="I769" s="45"/>
      <c r="J769" s="45"/>
      <c r="K769" s="39">
        <f t="shared" si="15"/>
        <v>0</v>
      </c>
      <c r="L769" s="39">
        <f t="shared" si="16"/>
        <v>0</v>
      </c>
      <c r="M769" s="5">
        <f t="shared" si="17"/>
        <v>0</v>
      </c>
    </row>
    <row r="770" ht="15.75" customHeight="1">
      <c r="E770" s="39"/>
      <c r="F770" s="45"/>
      <c r="G770" s="44"/>
      <c r="H770" s="17"/>
      <c r="I770" s="45"/>
      <c r="J770" s="45"/>
      <c r="K770" s="39">
        <f t="shared" si="15"/>
        <v>0</v>
      </c>
      <c r="L770" s="39">
        <f t="shared" si="16"/>
        <v>0</v>
      </c>
      <c r="M770" s="5">
        <f t="shared" si="17"/>
        <v>0</v>
      </c>
    </row>
    <row r="771" ht="15.75" customHeight="1">
      <c r="E771" s="39"/>
      <c r="F771" s="45"/>
      <c r="G771" s="44"/>
      <c r="H771" s="17"/>
      <c r="I771" s="45"/>
      <c r="J771" s="45"/>
      <c r="K771" s="39">
        <f t="shared" si="15"/>
        <v>0</v>
      </c>
      <c r="L771" s="39">
        <f t="shared" si="16"/>
        <v>0</v>
      </c>
      <c r="M771" s="5">
        <f t="shared" si="17"/>
        <v>0</v>
      </c>
    </row>
    <row r="772" ht="15.75" customHeight="1">
      <c r="E772" s="39"/>
      <c r="F772" s="45"/>
      <c r="G772" s="44"/>
      <c r="H772" s="17"/>
      <c r="I772" s="45"/>
      <c r="J772" s="45"/>
      <c r="K772" s="39">
        <f t="shared" si="15"/>
        <v>0</v>
      </c>
      <c r="L772" s="39">
        <f t="shared" si="16"/>
        <v>0</v>
      </c>
      <c r="M772" s="5">
        <f t="shared" si="17"/>
        <v>0</v>
      </c>
    </row>
    <row r="773" ht="15.75" customHeight="1">
      <c r="E773" s="39"/>
      <c r="F773" s="45"/>
      <c r="G773" s="44"/>
      <c r="H773" s="17"/>
      <c r="I773" s="45"/>
      <c r="J773" s="45"/>
      <c r="K773" s="39">
        <f t="shared" si="15"/>
        <v>0</v>
      </c>
      <c r="L773" s="39">
        <f t="shared" si="16"/>
        <v>0</v>
      </c>
      <c r="M773" s="5">
        <f t="shared" si="17"/>
        <v>0</v>
      </c>
    </row>
    <row r="774" ht="15.75" customHeight="1">
      <c r="E774" s="39"/>
      <c r="F774" s="45"/>
      <c r="G774" s="44"/>
      <c r="H774" s="17"/>
      <c r="I774" s="45"/>
      <c r="J774" s="45"/>
      <c r="K774" s="39">
        <f t="shared" si="15"/>
        <v>0</v>
      </c>
      <c r="L774" s="39">
        <f t="shared" si="16"/>
        <v>0</v>
      </c>
      <c r="M774" s="5">
        <f t="shared" si="17"/>
        <v>0</v>
      </c>
    </row>
    <row r="775" ht="15.75" customHeight="1">
      <c r="E775" s="39"/>
      <c r="F775" s="45"/>
      <c r="G775" s="44"/>
      <c r="H775" s="17"/>
      <c r="I775" s="45"/>
      <c r="J775" s="45"/>
      <c r="K775" s="39">
        <f t="shared" si="15"/>
        <v>0</v>
      </c>
      <c r="L775" s="39">
        <f t="shared" si="16"/>
        <v>0</v>
      </c>
      <c r="M775" s="5">
        <f t="shared" si="17"/>
        <v>0</v>
      </c>
    </row>
    <row r="776" ht="15.75" customHeight="1">
      <c r="E776" s="39"/>
      <c r="F776" s="45"/>
      <c r="G776" s="44"/>
      <c r="H776" s="17"/>
      <c r="I776" s="45"/>
      <c r="J776" s="45"/>
      <c r="K776" s="39">
        <f t="shared" si="15"/>
        <v>0</v>
      </c>
      <c r="L776" s="39">
        <f t="shared" si="16"/>
        <v>0</v>
      </c>
      <c r="M776" s="5">
        <f t="shared" si="17"/>
        <v>0</v>
      </c>
    </row>
    <row r="777" ht="15.75" customHeight="1">
      <c r="E777" s="39"/>
      <c r="F777" s="45"/>
      <c r="G777" s="44"/>
      <c r="H777" s="17"/>
      <c r="I777" s="45"/>
      <c r="J777" s="45"/>
      <c r="K777" s="39">
        <f t="shared" si="15"/>
        <v>0</v>
      </c>
      <c r="L777" s="39">
        <f t="shared" si="16"/>
        <v>0</v>
      </c>
      <c r="M777" s="5">
        <f t="shared" si="17"/>
        <v>0</v>
      </c>
    </row>
    <row r="778" ht="15.75" customHeight="1">
      <c r="E778" s="39"/>
      <c r="F778" s="45"/>
      <c r="G778" s="44"/>
      <c r="H778" s="17"/>
      <c r="I778" s="45"/>
      <c r="J778" s="45"/>
      <c r="K778" s="39">
        <f t="shared" si="15"/>
        <v>0</v>
      </c>
      <c r="L778" s="39">
        <f t="shared" si="16"/>
        <v>0</v>
      </c>
      <c r="M778" s="5">
        <f t="shared" si="17"/>
        <v>0</v>
      </c>
    </row>
    <row r="779" ht="15.75" customHeight="1">
      <c r="E779" s="39"/>
      <c r="F779" s="45"/>
      <c r="G779" s="44"/>
      <c r="H779" s="17"/>
      <c r="I779" s="45"/>
      <c r="J779" s="45"/>
      <c r="K779" s="39">
        <f t="shared" si="15"/>
        <v>0</v>
      </c>
      <c r="L779" s="39">
        <f t="shared" si="16"/>
        <v>0</v>
      </c>
      <c r="M779" s="5">
        <f t="shared" si="17"/>
        <v>0</v>
      </c>
    </row>
    <row r="780" ht="15.75" customHeight="1">
      <c r="E780" s="39"/>
      <c r="F780" s="45"/>
      <c r="G780" s="44"/>
      <c r="H780" s="17"/>
      <c r="I780" s="45"/>
      <c r="J780" s="45"/>
      <c r="K780" s="39">
        <f t="shared" si="15"/>
        <v>0</v>
      </c>
      <c r="L780" s="39">
        <f t="shared" si="16"/>
        <v>0</v>
      </c>
      <c r="M780" s="5">
        <f t="shared" si="17"/>
        <v>0</v>
      </c>
    </row>
    <row r="781" ht="15.75" customHeight="1">
      <c r="E781" s="39"/>
      <c r="F781" s="45"/>
      <c r="G781" s="44"/>
      <c r="H781" s="17"/>
      <c r="I781" s="45"/>
      <c r="J781" s="45"/>
      <c r="K781" s="39">
        <f t="shared" si="15"/>
        <v>0</v>
      </c>
      <c r="L781" s="39">
        <f t="shared" si="16"/>
        <v>0</v>
      </c>
      <c r="M781" s="5">
        <f t="shared" si="17"/>
        <v>0</v>
      </c>
    </row>
    <row r="782" ht="15.75" customHeight="1">
      <c r="E782" s="39"/>
      <c r="F782" s="45"/>
      <c r="G782" s="44"/>
      <c r="H782" s="17"/>
      <c r="I782" s="45"/>
      <c r="J782" s="45"/>
      <c r="K782" s="39">
        <f t="shared" si="15"/>
        <v>0</v>
      </c>
      <c r="L782" s="39">
        <f t="shared" si="16"/>
        <v>0</v>
      </c>
      <c r="M782" s="5">
        <f t="shared" si="17"/>
        <v>0</v>
      </c>
    </row>
    <row r="783" ht="15.75" customHeight="1">
      <c r="E783" s="39"/>
      <c r="F783" s="45"/>
      <c r="G783" s="44"/>
      <c r="H783" s="17"/>
      <c r="I783" s="45"/>
      <c r="J783" s="45"/>
      <c r="K783" s="39">
        <f t="shared" si="15"/>
        <v>0</v>
      </c>
      <c r="L783" s="39">
        <f t="shared" si="16"/>
        <v>0</v>
      </c>
      <c r="M783" s="5">
        <f t="shared" si="17"/>
        <v>0</v>
      </c>
    </row>
    <row r="784" ht="15.75" customHeight="1">
      <c r="E784" s="39"/>
      <c r="F784" s="45"/>
      <c r="G784" s="44"/>
      <c r="H784" s="17"/>
      <c r="I784" s="45"/>
      <c r="J784" s="45"/>
      <c r="K784" s="39">
        <f t="shared" si="15"/>
        <v>0</v>
      </c>
      <c r="L784" s="39">
        <f t="shared" si="16"/>
        <v>0</v>
      </c>
      <c r="M784" s="5">
        <f t="shared" si="17"/>
        <v>0</v>
      </c>
    </row>
    <row r="785" ht="15.75" customHeight="1">
      <c r="E785" s="39"/>
      <c r="F785" s="45"/>
      <c r="G785" s="44"/>
      <c r="H785" s="17"/>
      <c r="I785" s="45"/>
      <c r="J785" s="45"/>
      <c r="K785" s="39">
        <f t="shared" si="15"/>
        <v>0</v>
      </c>
      <c r="L785" s="39">
        <f t="shared" si="16"/>
        <v>0</v>
      </c>
      <c r="M785" s="5">
        <f t="shared" si="17"/>
        <v>0</v>
      </c>
    </row>
    <row r="786" ht="15.75" customHeight="1">
      <c r="E786" s="39"/>
      <c r="F786" s="45"/>
      <c r="G786" s="44"/>
      <c r="H786" s="17"/>
      <c r="I786" s="45"/>
      <c r="J786" s="45"/>
      <c r="K786" s="39">
        <f t="shared" si="15"/>
        <v>0</v>
      </c>
      <c r="L786" s="39">
        <f t="shared" si="16"/>
        <v>0</v>
      </c>
      <c r="M786" s="5">
        <f t="shared" si="17"/>
        <v>0</v>
      </c>
    </row>
    <row r="787" ht="15.75" customHeight="1">
      <c r="E787" s="39"/>
      <c r="F787" s="45"/>
      <c r="G787" s="44"/>
      <c r="H787" s="17"/>
      <c r="I787" s="45"/>
      <c r="J787" s="45"/>
      <c r="K787" s="39">
        <f t="shared" si="15"/>
        <v>0</v>
      </c>
      <c r="L787" s="39">
        <f t="shared" si="16"/>
        <v>0</v>
      </c>
      <c r="M787" s="5">
        <f t="shared" si="17"/>
        <v>0</v>
      </c>
    </row>
    <row r="788" ht="15.75" customHeight="1">
      <c r="E788" s="39"/>
      <c r="F788" s="45"/>
      <c r="G788" s="44"/>
      <c r="H788" s="17"/>
      <c r="I788" s="45"/>
      <c r="J788" s="45"/>
      <c r="K788" s="39">
        <f t="shared" si="15"/>
        <v>0</v>
      </c>
      <c r="L788" s="39">
        <f t="shared" si="16"/>
        <v>0</v>
      </c>
      <c r="M788" s="5">
        <f t="shared" si="17"/>
        <v>0</v>
      </c>
    </row>
    <row r="789" ht="15.75" customHeight="1">
      <c r="E789" s="39"/>
      <c r="F789" s="45"/>
      <c r="G789" s="44"/>
      <c r="H789" s="17"/>
      <c r="I789" s="45"/>
      <c r="J789" s="45"/>
      <c r="K789" s="39">
        <f t="shared" si="15"/>
        <v>0</v>
      </c>
      <c r="L789" s="39">
        <f t="shared" si="16"/>
        <v>0</v>
      </c>
      <c r="M789" s="5">
        <f t="shared" si="17"/>
        <v>0</v>
      </c>
    </row>
    <row r="790" ht="15.75" customHeight="1">
      <c r="E790" s="39"/>
      <c r="F790" s="45"/>
      <c r="G790" s="44"/>
      <c r="H790" s="17"/>
      <c r="I790" s="45"/>
      <c r="J790" s="45"/>
      <c r="K790" s="39">
        <f t="shared" si="15"/>
        <v>0</v>
      </c>
      <c r="L790" s="39">
        <f t="shared" si="16"/>
        <v>0</v>
      </c>
      <c r="M790" s="5">
        <f t="shared" si="17"/>
        <v>0</v>
      </c>
    </row>
    <row r="791" ht="15.75" customHeight="1">
      <c r="E791" s="39"/>
      <c r="F791" s="45"/>
      <c r="G791" s="44"/>
      <c r="H791" s="17"/>
      <c r="I791" s="45"/>
      <c r="J791" s="45"/>
      <c r="K791" s="39">
        <f t="shared" si="15"/>
        <v>0</v>
      </c>
      <c r="L791" s="39">
        <f t="shared" si="16"/>
        <v>0</v>
      </c>
      <c r="M791" s="5">
        <f t="shared" si="17"/>
        <v>0</v>
      </c>
    </row>
    <row r="792" ht="15.75" customHeight="1">
      <c r="E792" s="39"/>
      <c r="F792" s="45"/>
      <c r="G792" s="44"/>
      <c r="H792" s="17"/>
      <c r="I792" s="45"/>
      <c r="J792" s="45"/>
      <c r="K792" s="39">
        <f t="shared" si="15"/>
        <v>0</v>
      </c>
      <c r="L792" s="39">
        <f t="shared" si="16"/>
        <v>0</v>
      </c>
      <c r="M792" s="5">
        <f t="shared" si="17"/>
        <v>0</v>
      </c>
    </row>
    <row r="793" ht="15.75" customHeight="1">
      <c r="E793" s="39"/>
      <c r="F793" s="45"/>
      <c r="G793" s="44"/>
      <c r="H793" s="17"/>
      <c r="I793" s="45"/>
      <c r="J793" s="45"/>
      <c r="K793" s="39">
        <f t="shared" si="15"/>
        <v>0</v>
      </c>
      <c r="L793" s="39">
        <f t="shared" si="16"/>
        <v>0</v>
      </c>
      <c r="M793" s="5">
        <f t="shared" si="17"/>
        <v>0</v>
      </c>
    </row>
    <row r="794" ht="15.75" customHeight="1">
      <c r="E794" s="39"/>
      <c r="F794" s="45"/>
      <c r="G794" s="44"/>
      <c r="H794" s="17"/>
      <c r="I794" s="45"/>
      <c r="J794" s="45"/>
      <c r="K794" s="39">
        <f t="shared" si="15"/>
        <v>0</v>
      </c>
      <c r="L794" s="39">
        <f t="shared" si="16"/>
        <v>0</v>
      </c>
      <c r="M794" s="5">
        <f t="shared" si="17"/>
        <v>0</v>
      </c>
    </row>
    <row r="795" ht="15.75" customHeight="1">
      <c r="E795" s="39"/>
      <c r="F795" s="45"/>
      <c r="G795" s="44"/>
      <c r="H795" s="17"/>
      <c r="I795" s="45"/>
      <c r="J795" s="45"/>
      <c r="K795" s="39">
        <f t="shared" si="15"/>
        <v>0</v>
      </c>
      <c r="L795" s="39">
        <f t="shared" si="16"/>
        <v>0</v>
      </c>
      <c r="M795" s="5">
        <f t="shared" si="17"/>
        <v>0</v>
      </c>
    </row>
    <row r="796" ht="15.75" customHeight="1">
      <c r="E796" s="39"/>
      <c r="F796" s="45"/>
      <c r="G796" s="44"/>
      <c r="H796" s="17"/>
      <c r="I796" s="45"/>
      <c r="J796" s="45"/>
      <c r="K796" s="39">
        <f t="shared" si="15"/>
        <v>0</v>
      </c>
      <c r="L796" s="39">
        <f t="shared" si="16"/>
        <v>0</v>
      </c>
      <c r="M796" s="5">
        <f t="shared" si="17"/>
        <v>0</v>
      </c>
    </row>
    <row r="797" ht="15.75" customHeight="1">
      <c r="E797" s="39"/>
      <c r="F797" s="45"/>
      <c r="G797" s="44"/>
      <c r="H797" s="17"/>
      <c r="I797" s="45"/>
      <c r="J797" s="45"/>
      <c r="K797" s="39">
        <f t="shared" si="15"/>
        <v>0</v>
      </c>
      <c r="L797" s="39">
        <f t="shared" si="16"/>
        <v>0</v>
      </c>
      <c r="M797" s="5">
        <f t="shared" si="17"/>
        <v>0</v>
      </c>
    </row>
    <row r="798" ht="15.75" customHeight="1">
      <c r="E798" s="39"/>
      <c r="F798" s="45"/>
      <c r="G798" s="44"/>
      <c r="H798" s="17"/>
      <c r="I798" s="45"/>
      <c r="J798" s="45"/>
      <c r="K798" s="39">
        <f t="shared" si="15"/>
        <v>0</v>
      </c>
      <c r="L798" s="39">
        <f t="shared" si="16"/>
        <v>0</v>
      </c>
      <c r="M798" s="5">
        <f t="shared" si="17"/>
        <v>0</v>
      </c>
    </row>
    <row r="799" ht="15.75" customHeight="1">
      <c r="E799" s="39"/>
      <c r="F799" s="45"/>
      <c r="G799" s="44"/>
      <c r="H799" s="17"/>
      <c r="I799" s="45"/>
      <c r="J799" s="45"/>
      <c r="K799" s="39">
        <f t="shared" si="15"/>
        <v>0</v>
      </c>
      <c r="L799" s="39">
        <f t="shared" si="16"/>
        <v>0</v>
      </c>
      <c r="M799" s="5">
        <f t="shared" si="17"/>
        <v>0</v>
      </c>
    </row>
    <row r="800" ht="15.75" customHeight="1">
      <c r="E800" s="39"/>
      <c r="F800" s="45"/>
      <c r="G800" s="44"/>
      <c r="H800" s="17"/>
      <c r="I800" s="45"/>
      <c r="J800" s="45"/>
      <c r="K800" s="39">
        <f t="shared" si="15"/>
        <v>0</v>
      </c>
      <c r="L800" s="39">
        <f t="shared" si="16"/>
        <v>0</v>
      </c>
      <c r="M800" s="5">
        <f t="shared" si="17"/>
        <v>0</v>
      </c>
    </row>
    <row r="801" ht="15.75" customHeight="1">
      <c r="E801" s="39"/>
      <c r="F801" s="45"/>
      <c r="G801" s="44"/>
      <c r="H801" s="17"/>
      <c r="I801" s="45"/>
      <c r="J801" s="45"/>
      <c r="K801" s="39">
        <f t="shared" si="15"/>
        <v>0</v>
      </c>
      <c r="L801" s="39">
        <f t="shared" si="16"/>
        <v>0</v>
      </c>
      <c r="M801" s="5">
        <f t="shared" si="17"/>
        <v>0</v>
      </c>
    </row>
    <row r="802" ht="15.75" customHeight="1">
      <c r="E802" s="39"/>
      <c r="F802" s="45"/>
      <c r="G802" s="44"/>
      <c r="H802" s="17"/>
      <c r="I802" s="45"/>
      <c r="J802" s="45"/>
      <c r="K802" s="39">
        <f t="shared" si="15"/>
        <v>0</v>
      </c>
      <c r="L802" s="39">
        <f t="shared" si="16"/>
        <v>0</v>
      </c>
      <c r="M802" s="5">
        <f t="shared" si="17"/>
        <v>0</v>
      </c>
    </row>
    <row r="803" ht="15.75" customHeight="1">
      <c r="E803" s="39"/>
      <c r="F803" s="45"/>
      <c r="G803" s="44"/>
      <c r="H803" s="17"/>
      <c r="I803" s="45"/>
      <c r="J803" s="45"/>
      <c r="K803" s="39">
        <f t="shared" si="15"/>
        <v>0</v>
      </c>
      <c r="L803" s="39">
        <f t="shared" si="16"/>
        <v>0</v>
      </c>
      <c r="M803" s="5">
        <f t="shared" si="17"/>
        <v>0</v>
      </c>
    </row>
    <row r="804" ht="15.75" customHeight="1">
      <c r="E804" s="39"/>
      <c r="F804" s="45"/>
      <c r="G804" s="44"/>
      <c r="H804" s="17"/>
      <c r="I804" s="45"/>
      <c r="J804" s="45"/>
      <c r="K804" s="39">
        <f t="shared" si="15"/>
        <v>0</v>
      </c>
      <c r="L804" s="39">
        <f t="shared" si="16"/>
        <v>0</v>
      </c>
      <c r="M804" s="5">
        <f t="shared" si="17"/>
        <v>0</v>
      </c>
    </row>
    <row r="805" ht="15.75" customHeight="1">
      <c r="E805" s="39"/>
      <c r="F805" s="45"/>
      <c r="G805" s="44"/>
      <c r="H805" s="17"/>
      <c r="I805" s="45"/>
      <c r="J805" s="45"/>
      <c r="K805" s="39">
        <f t="shared" si="15"/>
        <v>0</v>
      </c>
      <c r="L805" s="39">
        <f t="shared" si="16"/>
        <v>0</v>
      </c>
      <c r="M805" s="5">
        <f t="shared" si="17"/>
        <v>0</v>
      </c>
    </row>
    <row r="806" ht="15.75" customHeight="1">
      <c r="E806" s="39"/>
      <c r="F806" s="45"/>
      <c r="G806" s="44"/>
      <c r="H806" s="17"/>
      <c r="I806" s="45"/>
      <c r="J806" s="45"/>
      <c r="K806" s="39">
        <f t="shared" si="15"/>
        <v>0</v>
      </c>
      <c r="L806" s="39">
        <f t="shared" si="16"/>
        <v>0</v>
      </c>
      <c r="M806" s="5">
        <f t="shared" si="17"/>
        <v>0</v>
      </c>
    </row>
    <row r="807" ht="15.75" customHeight="1">
      <c r="E807" s="39"/>
      <c r="F807" s="45"/>
      <c r="G807" s="44"/>
      <c r="H807" s="17"/>
      <c r="I807" s="45"/>
      <c r="J807" s="45"/>
      <c r="K807" s="39">
        <f t="shared" si="15"/>
        <v>0</v>
      </c>
      <c r="L807" s="39">
        <f t="shared" si="16"/>
        <v>0</v>
      </c>
      <c r="M807" s="5">
        <f t="shared" si="17"/>
        <v>0</v>
      </c>
    </row>
    <row r="808" ht="15.75" customHeight="1">
      <c r="E808" s="39"/>
      <c r="F808" s="45"/>
      <c r="G808" s="44"/>
      <c r="H808" s="17"/>
      <c r="I808" s="45"/>
      <c r="J808" s="45"/>
      <c r="K808" s="39">
        <f t="shared" si="15"/>
        <v>0</v>
      </c>
      <c r="L808" s="39">
        <f t="shared" si="16"/>
        <v>0</v>
      </c>
      <c r="M808" s="5">
        <f t="shared" si="17"/>
        <v>0</v>
      </c>
    </row>
    <row r="809" ht="15.75" customHeight="1">
      <c r="E809" s="39"/>
      <c r="F809" s="45"/>
      <c r="G809" s="44"/>
      <c r="H809" s="17"/>
      <c r="I809" s="45"/>
      <c r="J809" s="45"/>
      <c r="K809" s="39">
        <f t="shared" si="15"/>
        <v>0</v>
      </c>
      <c r="L809" s="39">
        <f t="shared" si="16"/>
        <v>0</v>
      </c>
      <c r="M809" s="5">
        <f t="shared" si="17"/>
        <v>0</v>
      </c>
    </row>
    <row r="810" ht="15.75" customHeight="1">
      <c r="E810" s="39"/>
      <c r="F810" s="45"/>
      <c r="G810" s="44"/>
      <c r="H810" s="17"/>
      <c r="I810" s="45"/>
      <c r="J810" s="45"/>
      <c r="K810" s="39">
        <f t="shared" si="15"/>
        <v>0</v>
      </c>
      <c r="L810" s="39">
        <f t="shared" si="16"/>
        <v>0</v>
      </c>
      <c r="M810" s="5">
        <f t="shared" si="17"/>
        <v>0</v>
      </c>
    </row>
    <row r="811" ht="15.75" customHeight="1">
      <c r="E811" s="39"/>
      <c r="F811" s="45"/>
      <c r="G811" s="44"/>
      <c r="H811" s="17"/>
      <c r="I811" s="45"/>
      <c r="J811" s="45"/>
      <c r="K811" s="39">
        <f t="shared" si="15"/>
        <v>0</v>
      </c>
      <c r="L811" s="39">
        <f t="shared" si="16"/>
        <v>0</v>
      </c>
      <c r="M811" s="5">
        <f t="shared" si="17"/>
        <v>0</v>
      </c>
    </row>
    <row r="812" ht="15.75" customHeight="1">
      <c r="E812" s="39"/>
      <c r="F812" s="45"/>
      <c r="G812" s="44"/>
      <c r="H812" s="17"/>
      <c r="I812" s="45"/>
      <c r="J812" s="45"/>
      <c r="K812" s="39">
        <f t="shared" si="15"/>
        <v>0</v>
      </c>
      <c r="L812" s="39">
        <f t="shared" si="16"/>
        <v>0</v>
      </c>
      <c r="M812" s="5">
        <f t="shared" si="17"/>
        <v>0</v>
      </c>
    </row>
    <row r="813" ht="15.75" customHeight="1">
      <c r="E813" s="39"/>
      <c r="F813" s="45"/>
      <c r="G813" s="44"/>
      <c r="H813" s="17"/>
      <c r="I813" s="45"/>
      <c r="J813" s="45"/>
      <c r="K813" s="39">
        <f t="shared" si="15"/>
        <v>0</v>
      </c>
      <c r="L813" s="39">
        <f t="shared" si="16"/>
        <v>0</v>
      </c>
      <c r="M813" s="5">
        <f t="shared" si="17"/>
        <v>0</v>
      </c>
    </row>
    <row r="814" ht="15.75" customHeight="1">
      <c r="E814" s="39"/>
      <c r="F814" s="45"/>
      <c r="G814" s="44"/>
      <c r="H814" s="17"/>
      <c r="I814" s="45"/>
      <c r="J814" s="45"/>
      <c r="K814" s="39">
        <f t="shared" si="15"/>
        <v>0</v>
      </c>
      <c r="L814" s="39">
        <f t="shared" si="16"/>
        <v>0</v>
      </c>
      <c r="M814" s="5">
        <f t="shared" si="17"/>
        <v>0</v>
      </c>
    </row>
    <row r="815" ht="15.75" customHeight="1">
      <c r="E815" s="39"/>
      <c r="F815" s="45"/>
      <c r="G815" s="44"/>
      <c r="H815" s="17"/>
      <c r="I815" s="45"/>
      <c r="J815" s="45"/>
      <c r="K815" s="39">
        <f t="shared" si="15"/>
        <v>0</v>
      </c>
      <c r="L815" s="39">
        <f t="shared" si="16"/>
        <v>0</v>
      </c>
      <c r="M815" s="5">
        <f t="shared" si="17"/>
        <v>0</v>
      </c>
    </row>
    <row r="816" ht="15.75" customHeight="1">
      <c r="E816" s="39"/>
      <c r="F816" s="45"/>
      <c r="G816" s="44"/>
      <c r="H816" s="17"/>
      <c r="I816" s="45"/>
      <c r="J816" s="45"/>
      <c r="K816" s="39">
        <f t="shared" si="15"/>
        <v>0</v>
      </c>
      <c r="L816" s="39">
        <f t="shared" si="16"/>
        <v>0</v>
      </c>
      <c r="M816" s="5">
        <f t="shared" si="17"/>
        <v>0</v>
      </c>
    </row>
    <row r="817" ht="15.75" customHeight="1">
      <c r="E817" s="39"/>
      <c r="F817" s="45"/>
      <c r="G817" s="44"/>
      <c r="H817" s="17"/>
      <c r="I817" s="45"/>
      <c r="J817" s="45"/>
      <c r="K817" s="39">
        <f t="shared" si="15"/>
        <v>0</v>
      </c>
      <c r="L817" s="39">
        <f t="shared" si="16"/>
        <v>0</v>
      </c>
      <c r="M817" s="5">
        <f t="shared" si="17"/>
        <v>0</v>
      </c>
    </row>
    <row r="818" ht="15.75" customHeight="1">
      <c r="E818" s="39"/>
      <c r="F818" s="45"/>
      <c r="G818" s="44"/>
      <c r="H818" s="17"/>
      <c r="I818" s="45"/>
      <c r="J818" s="45"/>
      <c r="K818" s="39">
        <f t="shared" si="15"/>
        <v>0</v>
      </c>
      <c r="L818" s="39">
        <f t="shared" si="16"/>
        <v>0</v>
      </c>
      <c r="M818" s="5">
        <f t="shared" si="17"/>
        <v>0</v>
      </c>
    </row>
    <row r="819" ht="15.75" customHeight="1">
      <c r="E819" s="39"/>
      <c r="F819" s="45"/>
      <c r="G819" s="44"/>
      <c r="H819" s="17"/>
      <c r="I819" s="45"/>
      <c r="J819" s="45"/>
      <c r="K819" s="39">
        <f t="shared" si="15"/>
        <v>0</v>
      </c>
      <c r="L819" s="39">
        <f t="shared" si="16"/>
        <v>0</v>
      </c>
      <c r="M819" s="5">
        <f t="shared" si="17"/>
        <v>0</v>
      </c>
    </row>
    <row r="820" ht="15.75" customHeight="1">
      <c r="E820" s="39"/>
      <c r="F820" s="45"/>
      <c r="G820" s="44"/>
      <c r="H820" s="17"/>
      <c r="I820" s="45"/>
      <c r="J820" s="45"/>
      <c r="K820" s="39">
        <f t="shared" si="15"/>
        <v>0</v>
      </c>
      <c r="L820" s="39">
        <f t="shared" si="16"/>
        <v>0</v>
      </c>
      <c r="M820" s="5">
        <f t="shared" si="17"/>
        <v>0</v>
      </c>
    </row>
    <row r="821" ht="15.75" customHeight="1">
      <c r="E821" s="39"/>
      <c r="F821" s="45"/>
      <c r="G821" s="44"/>
      <c r="H821" s="17"/>
      <c r="I821" s="45"/>
      <c r="J821" s="45"/>
      <c r="K821" s="39">
        <f t="shared" si="15"/>
        <v>0</v>
      </c>
      <c r="L821" s="39">
        <f t="shared" si="16"/>
        <v>0</v>
      </c>
      <c r="M821" s="5">
        <f t="shared" si="17"/>
        <v>0</v>
      </c>
    </row>
    <row r="822" ht="15.75" customHeight="1">
      <c r="E822" s="39"/>
      <c r="F822" s="45"/>
      <c r="G822" s="44"/>
      <c r="H822" s="17"/>
      <c r="I822" s="45"/>
      <c r="J822" s="45"/>
      <c r="K822" s="39">
        <f t="shared" si="15"/>
        <v>0</v>
      </c>
      <c r="L822" s="39">
        <f t="shared" si="16"/>
        <v>0</v>
      </c>
      <c r="M822" s="5">
        <f t="shared" si="17"/>
        <v>0</v>
      </c>
    </row>
    <row r="823" ht="15.75" customHeight="1">
      <c r="E823" s="39"/>
      <c r="F823" s="45"/>
      <c r="G823" s="44"/>
      <c r="H823" s="17"/>
      <c r="I823" s="45"/>
      <c r="J823" s="45"/>
      <c r="K823" s="39">
        <f t="shared" si="15"/>
        <v>0</v>
      </c>
      <c r="L823" s="39">
        <f t="shared" si="16"/>
        <v>0</v>
      </c>
      <c r="M823" s="5">
        <f t="shared" si="17"/>
        <v>0</v>
      </c>
    </row>
    <row r="824" ht="15.75" customHeight="1">
      <c r="E824" s="39"/>
      <c r="F824" s="45"/>
      <c r="G824" s="44"/>
      <c r="H824" s="17"/>
      <c r="I824" s="45"/>
      <c r="J824" s="45"/>
      <c r="K824" s="39">
        <f t="shared" si="15"/>
        <v>0</v>
      </c>
      <c r="L824" s="39">
        <f t="shared" si="16"/>
        <v>0</v>
      </c>
      <c r="M824" s="5">
        <f t="shared" si="17"/>
        <v>0</v>
      </c>
    </row>
    <row r="825" ht="15.75" customHeight="1">
      <c r="E825" s="39"/>
      <c r="F825" s="45"/>
      <c r="G825" s="44"/>
      <c r="H825" s="17"/>
      <c r="I825" s="45"/>
      <c r="J825" s="45"/>
      <c r="K825" s="39">
        <f t="shared" si="15"/>
        <v>0</v>
      </c>
      <c r="L825" s="39">
        <f t="shared" si="16"/>
        <v>0</v>
      </c>
      <c r="M825" s="5">
        <f t="shared" si="17"/>
        <v>0</v>
      </c>
    </row>
    <row r="826" ht="15.75" customHeight="1">
      <c r="E826" s="39"/>
      <c r="F826" s="45"/>
      <c r="G826" s="44"/>
      <c r="H826" s="17"/>
      <c r="I826" s="45"/>
      <c r="J826" s="45"/>
      <c r="K826" s="39">
        <f t="shared" si="15"/>
        <v>0</v>
      </c>
      <c r="L826" s="39">
        <f t="shared" si="16"/>
        <v>0</v>
      </c>
      <c r="M826" s="5">
        <f t="shared" si="17"/>
        <v>0</v>
      </c>
    </row>
    <row r="827" ht="15.75" customHeight="1">
      <c r="E827" s="39"/>
      <c r="F827" s="45"/>
      <c r="G827" s="44"/>
      <c r="H827" s="17"/>
      <c r="I827" s="45"/>
      <c r="J827" s="45"/>
      <c r="K827" s="39">
        <f t="shared" si="15"/>
        <v>0</v>
      </c>
      <c r="L827" s="39">
        <f t="shared" si="16"/>
        <v>0</v>
      </c>
      <c r="M827" s="5">
        <f t="shared" si="17"/>
        <v>0</v>
      </c>
    </row>
    <row r="828" ht="15.75" customHeight="1">
      <c r="E828" s="39"/>
      <c r="F828" s="45"/>
      <c r="G828" s="44"/>
      <c r="H828" s="17"/>
      <c r="I828" s="45"/>
      <c r="J828" s="45"/>
      <c r="K828" s="39">
        <f t="shared" si="15"/>
        <v>0</v>
      </c>
      <c r="L828" s="39">
        <f t="shared" si="16"/>
        <v>0</v>
      </c>
      <c r="M828" s="5">
        <f t="shared" si="17"/>
        <v>0</v>
      </c>
    </row>
    <row r="829" ht="15.75" customHeight="1">
      <c r="E829" s="39"/>
      <c r="F829" s="45"/>
      <c r="G829" s="44"/>
      <c r="H829" s="17"/>
      <c r="I829" s="45"/>
      <c r="J829" s="45"/>
      <c r="K829" s="39">
        <f t="shared" si="15"/>
        <v>0</v>
      </c>
      <c r="L829" s="39">
        <f t="shared" si="16"/>
        <v>0</v>
      </c>
      <c r="M829" s="5">
        <f t="shared" si="17"/>
        <v>0</v>
      </c>
    </row>
    <row r="830" ht="15.75" customHeight="1">
      <c r="E830" s="39"/>
      <c r="F830" s="45"/>
      <c r="G830" s="44"/>
      <c r="H830" s="17"/>
      <c r="I830" s="45"/>
      <c r="J830" s="45"/>
      <c r="K830" s="39">
        <f t="shared" si="15"/>
        <v>0</v>
      </c>
      <c r="L830" s="39">
        <f t="shared" si="16"/>
        <v>0</v>
      </c>
      <c r="M830" s="5">
        <f t="shared" si="17"/>
        <v>0</v>
      </c>
    </row>
    <row r="831" ht="15.75" customHeight="1">
      <c r="E831" s="39"/>
      <c r="F831" s="45"/>
      <c r="G831" s="44"/>
      <c r="H831" s="17"/>
      <c r="I831" s="45"/>
      <c r="J831" s="45"/>
      <c r="K831" s="39">
        <f t="shared" si="15"/>
        <v>0</v>
      </c>
      <c r="L831" s="39">
        <f t="shared" si="16"/>
        <v>0</v>
      </c>
      <c r="M831" s="5">
        <f t="shared" si="17"/>
        <v>0</v>
      </c>
    </row>
    <row r="832" ht="15.75" customHeight="1">
      <c r="E832" s="39"/>
      <c r="F832" s="45"/>
      <c r="G832" s="44"/>
      <c r="H832" s="17"/>
      <c r="I832" s="45"/>
      <c r="J832" s="45"/>
      <c r="K832" s="39">
        <f t="shared" si="15"/>
        <v>0</v>
      </c>
      <c r="L832" s="39">
        <f t="shared" si="16"/>
        <v>0</v>
      </c>
      <c r="M832" s="5">
        <f t="shared" si="17"/>
        <v>0</v>
      </c>
    </row>
    <row r="833" ht="15.75" customHeight="1">
      <c r="E833" s="39"/>
      <c r="F833" s="45"/>
      <c r="G833" s="44"/>
      <c r="H833" s="17"/>
      <c r="I833" s="45"/>
      <c r="J833" s="45"/>
      <c r="K833" s="39">
        <f t="shared" si="15"/>
        <v>0</v>
      </c>
      <c r="L833" s="39">
        <f t="shared" si="16"/>
        <v>0</v>
      </c>
      <c r="M833" s="5">
        <f t="shared" si="17"/>
        <v>0</v>
      </c>
    </row>
    <row r="834" ht="15.75" customHeight="1">
      <c r="E834" s="39"/>
      <c r="F834" s="45"/>
      <c r="G834" s="44"/>
      <c r="H834" s="17"/>
      <c r="I834" s="45"/>
      <c r="J834" s="45"/>
      <c r="K834" s="39">
        <f t="shared" si="15"/>
        <v>0</v>
      </c>
      <c r="L834" s="39">
        <f t="shared" si="16"/>
        <v>0</v>
      </c>
      <c r="M834" s="5">
        <f t="shared" si="17"/>
        <v>0</v>
      </c>
    </row>
    <row r="835" ht="15.75" customHeight="1">
      <c r="E835" s="39"/>
      <c r="F835" s="45"/>
      <c r="G835" s="44"/>
      <c r="H835" s="17"/>
      <c r="I835" s="45"/>
      <c r="J835" s="45"/>
      <c r="K835" s="39">
        <f t="shared" si="15"/>
        <v>0</v>
      </c>
      <c r="L835" s="39">
        <f t="shared" si="16"/>
        <v>0</v>
      </c>
      <c r="M835" s="5">
        <f t="shared" si="17"/>
        <v>0</v>
      </c>
    </row>
    <row r="836" ht="15.75" customHeight="1">
      <c r="E836" s="39"/>
      <c r="F836" s="45"/>
      <c r="G836" s="44"/>
      <c r="H836" s="17"/>
      <c r="I836" s="45"/>
      <c r="J836" s="45"/>
      <c r="K836" s="39">
        <f t="shared" si="15"/>
        <v>0</v>
      </c>
      <c r="L836" s="39">
        <f t="shared" si="16"/>
        <v>0</v>
      </c>
      <c r="M836" s="5">
        <f t="shared" si="17"/>
        <v>0</v>
      </c>
    </row>
    <row r="837" ht="15.75" customHeight="1">
      <c r="E837" s="39"/>
      <c r="F837" s="45"/>
      <c r="G837" s="44"/>
      <c r="H837" s="17"/>
      <c r="I837" s="45"/>
      <c r="J837" s="45"/>
      <c r="K837" s="39">
        <f t="shared" si="15"/>
        <v>0</v>
      </c>
      <c r="L837" s="39">
        <f t="shared" si="16"/>
        <v>0</v>
      </c>
      <c r="M837" s="5">
        <f t="shared" si="17"/>
        <v>0</v>
      </c>
    </row>
    <row r="838" ht="15.75" customHeight="1">
      <c r="E838" s="39"/>
      <c r="F838" s="45"/>
      <c r="G838" s="44"/>
      <c r="H838" s="17"/>
      <c r="I838" s="45"/>
      <c r="J838" s="45"/>
      <c r="K838" s="39">
        <f t="shared" si="15"/>
        <v>0</v>
      </c>
      <c r="L838" s="39">
        <f t="shared" si="16"/>
        <v>0</v>
      </c>
      <c r="M838" s="5">
        <f t="shared" si="17"/>
        <v>0</v>
      </c>
    </row>
    <row r="839" ht="15.75" customHeight="1">
      <c r="E839" s="39"/>
      <c r="F839" s="45"/>
      <c r="G839" s="44"/>
      <c r="H839" s="17"/>
      <c r="I839" s="45"/>
      <c r="J839" s="45"/>
      <c r="K839" s="39">
        <f t="shared" si="15"/>
        <v>0</v>
      </c>
      <c r="L839" s="39">
        <f t="shared" si="16"/>
        <v>0</v>
      </c>
      <c r="M839" s="5">
        <f t="shared" si="17"/>
        <v>0</v>
      </c>
    </row>
    <row r="840" ht="15.75" customHeight="1">
      <c r="E840" s="39"/>
      <c r="F840" s="45"/>
      <c r="G840" s="44"/>
      <c r="H840" s="17"/>
      <c r="I840" s="45"/>
      <c r="J840" s="45"/>
      <c r="K840" s="39">
        <f t="shared" si="15"/>
        <v>0</v>
      </c>
      <c r="L840" s="39">
        <f t="shared" si="16"/>
        <v>0</v>
      </c>
      <c r="M840" s="5">
        <f t="shared" si="17"/>
        <v>0</v>
      </c>
    </row>
    <row r="841" ht="15.75" customHeight="1">
      <c r="E841" s="39"/>
      <c r="F841" s="45"/>
      <c r="G841" s="44"/>
      <c r="H841" s="17"/>
      <c r="I841" s="45"/>
      <c r="J841" s="45"/>
      <c r="K841" s="39">
        <f t="shared" si="15"/>
        <v>0</v>
      </c>
      <c r="L841" s="39">
        <f t="shared" si="16"/>
        <v>0</v>
      </c>
      <c r="M841" s="5">
        <f t="shared" si="17"/>
        <v>0</v>
      </c>
    </row>
    <row r="842" ht="15.75" customHeight="1">
      <c r="E842" s="39"/>
      <c r="F842" s="45"/>
      <c r="G842" s="44"/>
      <c r="H842" s="17"/>
      <c r="I842" s="45"/>
      <c r="J842" s="45"/>
      <c r="K842" s="39">
        <f t="shared" si="15"/>
        <v>0</v>
      </c>
      <c r="L842" s="39">
        <f t="shared" si="16"/>
        <v>0</v>
      </c>
      <c r="M842" s="5">
        <f t="shared" si="17"/>
        <v>0</v>
      </c>
    </row>
    <row r="843" ht="15.75" customHeight="1">
      <c r="E843" s="39"/>
      <c r="F843" s="45"/>
      <c r="G843" s="44"/>
      <c r="H843" s="17"/>
      <c r="I843" s="45"/>
      <c r="J843" s="45"/>
      <c r="K843" s="39">
        <f t="shared" si="15"/>
        <v>0</v>
      </c>
      <c r="L843" s="39">
        <f t="shared" si="16"/>
        <v>0</v>
      </c>
      <c r="M843" s="5">
        <f t="shared" si="17"/>
        <v>0</v>
      </c>
    </row>
    <row r="844" ht="15.75" customHeight="1">
      <c r="E844" s="39"/>
      <c r="F844" s="45"/>
      <c r="G844" s="44"/>
      <c r="H844" s="17"/>
      <c r="I844" s="45"/>
      <c r="J844" s="45"/>
      <c r="K844" s="39">
        <f t="shared" si="15"/>
        <v>0</v>
      </c>
      <c r="L844" s="39">
        <f t="shared" si="16"/>
        <v>0</v>
      </c>
      <c r="M844" s="5">
        <f t="shared" si="17"/>
        <v>0</v>
      </c>
    </row>
    <row r="845" ht="15.75" customHeight="1">
      <c r="E845" s="39"/>
      <c r="F845" s="45"/>
      <c r="G845" s="44"/>
      <c r="H845" s="17"/>
      <c r="I845" s="45"/>
      <c r="J845" s="45"/>
      <c r="K845" s="39">
        <f t="shared" si="15"/>
        <v>0</v>
      </c>
      <c r="L845" s="39">
        <f t="shared" si="16"/>
        <v>0</v>
      </c>
      <c r="M845" s="5">
        <f t="shared" si="17"/>
        <v>0</v>
      </c>
    </row>
    <row r="846" ht="15.75" customHeight="1">
      <c r="E846" s="39"/>
      <c r="F846" s="45"/>
      <c r="G846" s="44"/>
      <c r="H846" s="17"/>
      <c r="I846" s="45"/>
      <c r="J846" s="45"/>
      <c r="K846" s="39">
        <f t="shared" si="15"/>
        <v>0</v>
      </c>
      <c r="L846" s="39">
        <f t="shared" si="16"/>
        <v>0</v>
      </c>
      <c r="M846" s="5">
        <f t="shared" si="17"/>
        <v>0</v>
      </c>
    </row>
    <row r="847" ht="15.75" customHeight="1">
      <c r="E847" s="39"/>
      <c r="F847" s="45"/>
      <c r="G847" s="44"/>
      <c r="H847" s="17"/>
      <c r="I847" s="45"/>
      <c r="J847" s="45"/>
      <c r="K847" s="39">
        <f t="shared" si="15"/>
        <v>0</v>
      </c>
      <c r="L847" s="39">
        <f t="shared" si="16"/>
        <v>0</v>
      </c>
      <c r="M847" s="5">
        <f t="shared" si="17"/>
        <v>0</v>
      </c>
    </row>
    <row r="848" ht="15.75" customHeight="1">
      <c r="E848" s="39"/>
      <c r="F848" s="45"/>
      <c r="G848" s="44"/>
      <c r="H848" s="17"/>
      <c r="I848" s="45"/>
      <c r="J848" s="45"/>
      <c r="K848" s="39">
        <f t="shared" si="15"/>
        <v>0</v>
      </c>
      <c r="L848" s="39">
        <f t="shared" si="16"/>
        <v>0</v>
      </c>
      <c r="M848" s="5">
        <f t="shared" si="17"/>
        <v>0</v>
      </c>
    </row>
    <row r="849" ht="15.75" customHeight="1">
      <c r="E849" s="39"/>
      <c r="F849" s="45"/>
      <c r="G849" s="44"/>
      <c r="H849" s="17"/>
      <c r="I849" s="45"/>
      <c r="J849" s="45"/>
      <c r="K849" s="39">
        <f t="shared" si="15"/>
        <v>0</v>
      </c>
      <c r="L849" s="39">
        <f t="shared" si="16"/>
        <v>0</v>
      </c>
      <c r="M849" s="5">
        <f t="shared" si="17"/>
        <v>0</v>
      </c>
    </row>
    <row r="850" ht="15.75" customHeight="1">
      <c r="E850" s="39"/>
      <c r="F850" s="45"/>
      <c r="G850" s="44"/>
      <c r="H850" s="17"/>
      <c r="I850" s="45"/>
      <c r="J850" s="45"/>
      <c r="K850" s="39">
        <f t="shared" si="15"/>
        <v>0</v>
      </c>
      <c r="L850" s="39">
        <f t="shared" si="16"/>
        <v>0</v>
      </c>
      <c r="M850" s="5">
        <f t="shared" si="17"/>
        <v>0</v>
      </c>
    </row>
    <row r="851" ht="15.75" customHeight="1">
      <c r="E851" s="39"/>
      <c r="F851" s="45"/>
      <c r="G851" s="44"/>
      <c r="H851" s="17"/>
      <c r="I851" s="45"/>
      <c r="J851" s="45"/>
      <c r="K851" s="39">
        <f t="shared" si="15"/>
        <v>0</v>
      </c>
      <c r="L851" s="39">
        <f t="shared" si="16"/>
        <v>0</v>
      </c>
      <c r="M851" s="5">
        <f t="shared" si="17"/>
        <v>0</v>
      </c>
    </row>
    <row r="852" ht="15.75" customHeight="1">
      <c r="E852" s="39"/>
      <c r="F852" s="45"/>
      <c r="G852" s="44"/>
      <c r="H852" s="17"/>
      <c r="I852" s="45"/>
      <c r="J852" s="45"/>
      <c r="K852" s="39">
        <f t="shared" si="15"/>
        <v>0</v>
      </c>
      <c r="L852" s="39">
        <f t="shared" si="16"/>
        <v>0</v>
      </c>
      <c r="M852" s="5">
        <f t="shared" si="17"/>
        <v>0</v>
      </c>
    </row>
    <row r="853" ht="15.75" customHeight="1">
      <c r="E853" s="39"/>
      <c r="F853" s="45"/>
      <c r="G853" s="44"/>
      <c r="H853" s="17"/>
      <c r="I853" s="45"/>
      <c r="J853" s="45"/>
      <c r="K853" s="39">
        <f t="shared" si="15"/>
        <v>0</v>
      </c>
      <c r="L853" s="39">
        <f t="shared" si="16"/>
        <v>0</v>
      </c>
      <c r="M853" s="5">
        <f t="shared" si="17"/>
        <v>0</v>
      </c>
    </row>
    <row r="854" ht="15.75" customHeight="1">
      <c r="E854" s="39"/>
      <c r="F854" s="45"/>
      <c r="G854" s="44"/>
      <c r="H854" s="17"/>
      <c r="I854" s="45"/>
      <c r="J854" s="45"/>
      <c r="K854" s="39">
        <f t="shared" si="15"/>
        <v>0</v>
      </c>
      <c r="L854" s="39">
        <f t="shared" si="16"/>
        <v>0</v>
      </c>
      <c r="M854" s="5">
        <f t="shared" si="17"/>
        <v>0</v>
      </c>
    </row>
    <row r="855" ht="15.75" customHeight="1">
      <c r="E855" s="39"/>
      <c r="F855" s="45"/>
      <c r="G855" s="44"/>
      <c r="H855" s="17"/>
      <c r="I855" s="45"/>
      <c r="J855" s="45"/>
      <c r="K855" s="39">
        <f t="shared" si="15"/>
        <v>0</v>
      </c>
      <c r="L855" s="39">
        <f t="shared" si="16"/>
        <v>0</v>
      </c>
      <c r="M855" s="5">
        <f t="shared" si="17"/>
        <v>0</v>
      </c>
    </row>
    <row r="856" ht="15.75" customHeight="1">
      <c r="E856" s="39"/>
      <c r="F856" s="45"/>
      <c r="G856" s="44"/>
      <c r="H856" s="17"/>
      <c r="I856" s="45"/>
      <c r="J856" s="45"/>
      <c r="K856" s="39">
        <f t="shared" si="15"/>
        <v>0</v>
      </c>
      <c r="L856" s="39">
        <f t="shared" si="16"/>
        <v>0</v>
      </c>
      <c r="M856" s="5">
        <f t="shared" si="17"/>
        <v>0</v>
      </c>
    </row>
    <row r="857" ht="15.75" customHeight="1">
      <c r="E857" s="39"/>
      <c r="F857" s="45"/>
      <c r="G857" s="44"/>
      <c r="H857" s="17"/>
      <c r="I857" s="45"/>
      <c r="J857" s="45"/>
      <c r="K857" s="39">
        <f t="shared" si="15"/>
        <v>0</v>
      </c>
      <c r="L857" s="39">
        <f t="shared" si="16"/>
        <v>0</v>
      </c>
      <c r="M857" s="5">
        <f t="shared" si="17"/>
        <v>0</v>
      </c>
    </row>
    <row r="858" ht="15.75" customHeight="1">
      <c r="E858" s="39"/>
      <c r="F858" s="45"/>
      <c r="G858" s="44"/>
      <c r="H858" s="17"/>
      <c r="I858" s="45"/>
      <c r="J858" s="45"/>
      <c r="K858" s="39">
        <f t="shared" si="15"/>
        <v>0</v>
      </c>
      <c r="L858" s="39">
        <f t="shared" si="16"/>
        <v>0</v>
      </c>
      <c r="M858" s="5">
        <f t="shared" si="17"/>
        <v>0</v>
      </c>
    </row>
    <row r="859" ht="15.75" customHeight="1">
      <c r="E859" s="39"/>
      <c r="F859" s="45"/>
      <c r="G859" s="44"/>
      <c r="H859" s="17"/>
      <c r="I859" s="45"/>
      <c r="J859" s="45"/>
      <c r="K859" s="39">
        <f t="shared" si="15"/>
        <v>0</v>
      </c>
      <c r="L859" s="39">
        <f t="shared" si="16"/>
        <v>0</v>
      </c>
      <c r="M859" s="5">
        <f t="shared" si="17"/>
        <v>0</v>
      </c>
    </row>
    <row r="860" ht="15.75" customHeight="1">
      <c r="E860" s="39"/>
      <c r="F860" s="45"/>
      <c r="G860" s="44"/>
      <c r="H860" s="17"/>
      <c r="I860" s="45"/>
      <c r="J860" s="45"/>
      <c r="K860" s="39">
        <f t="shared" si="15"/>
        <v>0</v>
      </c>
      <c r="L860" s="39">
        <f t="shared" si="16"/>
        <v>0</v>
      </c>
      <c r="M860" s="5">
        <f t="shared" si="17"/>
        <v>0</v>
      </c>
    </row>
    <row r="861" ht="15.75" customHeight="1">
      <c r="E861" s="39"/>
      <c r="F861" s="45"/>
      <c r="G861" s="44"/>
      <c r="H861" s="17"/>
      <c r="I861" s="45"/>
      <c r="J861" s="45"/>
      <c r="K861" s="39">
        <f t="shared" si="15"/>
        <v>0</v>
      </c>
      <c r="L861" s="39">
        <f t="shared" si="16"/>
        <v>0</v>
      </c>
      <c r="M861" s="5">
        <f t="shared" si="17"/>
        <v>0</v>
      </c>
    </row>
    <row r="862" ht="15.75" customHeight="1">
      <c r="E862" s="39"/>
      <c r="F862" s="45"/>
      <c r="G862" s="44"/>
      <c r="H862" s="17"/>
      <c r="I862" s="45"/>
      <c r="J862" s="45"/>
      <c r="K862" s="39">
        <f t="shared" si="15"/>
        <v>0</v>
      </c>
      <c r="L862" s="39">
        <f t="shared" si="16"/>
        <v>0</v>
      </c>
      <c r="M862" s="5">
        <f t="shared" si="17"/>
        <v>0</v>
      </c>
    </row>
    <row r="863" ht="15.75" customHeight="1">
      <c r="E863" s="39"/>
      <c r="F863" s="45"/>
      <c r="G863" s="44"/>
      <c r="H863" s="17"/>
      <c r="I863" s="45"/>
      <c r="J863" s="45"/>
      <c r="K863" s="39">
        <f t="shared" si="15"/>
        <v>0</v>
      </c>
      <c r="L863" s="39">
        <f t="shared" si="16"/>
        <v>0</v>
      </c>
      <c r="M863" s="5">
        <f t="shared" si="17"/>
        <v>0</v>
      </c>
    </row>
    <row r="864" ht="15.75" customHeight="1">
      <c r="E864" s="39"/>
      <c r="F864" s="45"/>
      <c r="G864" s="44"/>
      <c r="H864" s="17"/>
      <c r="I864" s="45"/>
      <c r="J864" s="45"/>
      <c r="K864" s="39">
        <f t="shared" si="15"/>
        <v>0</v>
      </c>
      <c r="L864" s="39">
        <f t="shared" si="16"/>
        <v>0</v>
      </c>
      <c r="M864" s="5">
        <f t="shared" si="17"/>
        <v>0</v>
      </c>
    </row>
    <row r="865" ht="15.75" customHeight="1">
      <c r="E865" s="39"/>
      <c r="F865" s="45"/>
      <c r="G865" s="44"/>
      <c r="H865" s="17"/>
      <c r="I865" s="45"/>
      <c r="J865" s="45"/>
      <c r="K865" s="39">
        <f t="shared" si="15"/>
        <v>0</v>
      </c>
      <c r="L865" s="39">
        <f t="shared" si="16"/>
        <v>0</v>
      </c>
      <c r="M865" s="5">
        <f t="shared" si="17"/>
        <v>0</v>
      </c>
    </row>
    <row r="866" ht="15.75" customHeight="1">
      <c r="E866" s="39"/>
      <c r="F866" s="45"/>
      <c r="G866" s="44"/>
      <c r="H866" s="17"/>
      <c r="I866" s="45"/>
      <c r="J866" s="45"/>
      <c r="K866" s="39">
        <f t="shared" si="15"/>
        <v>0</v>
      </c>
      <c r="L866" s="39">
        <f t="shared" si="16"/>
        <v>0</v>
      </c>
      <c r="M866" s="5">
        <f t="shared" si="17"/>
        <v>0</v>
      </c>
    </row>
    <row r="867" ht="15.75" customHeight="1">
      <c r="E867" s="39"/>
      <c r="F867" s="45"/>
      <c r="G867" s="44"/>
      <c r="H867" s="17"/>
      <c r="I867" s="45"/>
      <c r="J867" s="45"/>
      <c r="K867" s="39">
        <f t="shared" si="15"/>
        <v>0</v>
      </c>
      <c r="L867" s="39">
        <f t="shared" si="16"/>
        <v>0</v>
      </c>
      <c r="M867" s="5">
        <f t="shared" si="17"/>
        <v>0</v>
      </c>
    </row>
    <row r="868" ht="15.75" customHeight="1">
      <c r="E868" s="39"/>
      <c r="F868" s="45"/>
      <c r="G868" s="44"/>
      <c r="H868" s="17"/>
      <c r="I868" s="45"/>
      <c r="J868" s="45"/>
      <c r="K868" s="39">
        <f t="shared" si="15"/>
        <v>0</v>
      </c>
      <c r="L868" s="39">
        <f t="shared" si="16"/>
        <v>0</v>
      </c>
      <c r="M868" s="5">
        <f t="shared" si="17"/>
        <v>0</v>
      </c>
    </row>
    <row r="869" ht="15.75" customHeight="1">
      <c r="E869" s="39"/>
      <c r="F869" s="45"/>
      <c r="G869" s="44"/>
      <c r="H869" s="17"/>
      <c r="I869" s="45"/>
      <c r="J869" s="45"/>
      <c r="K869" s="39">
        <f t="shared" si="15"/>
        <v>0</v>
      </c>
      <c r="L869" s="39">
        <f t="shared" si="16"/>
        <v>0</v>
      </c>
      <c r="M869" s="5">
        <f t="shared" si="17"/>
        <v>0</v>
      </c>
    </row>
    <row r="870" ht="15.75" customHeight="1">
      <c r="E870" s="39"/>
      <c r="F870" s="45"/>
      <c r="G870" s="44"/>
      <c r="H870" s="17"/>
      <c r="I870" s="45"/>
      <c r="J870" s="45"/>
      <c r="K870" s="39">
        <f t="shared" si="15"/>
        <v>0</v>
      </c>
      <c r="L870" s="39">
        <f t="shared" si="16"/>
        <v>0</v>
      </c>
      <c r="M870" s="5">
        <f t="shared" si="17"/>
        <v>0</v>
      </c>
    </row>
    <row r="871" ht="15.75" customHeight="1">
      <c r="E871" s="39"/>
      <c r="F871" s="45"/>
      <c r="G871" s="44"/>
      <c r="H871" s="17"/>
      <c r="I871" s="45"/>
      <c r="J871" s="45"/>
      <c r="K871" s="39">
        <f t="shared" si="15"/>
        <v>0</v>
      </c>
      <c r="L871" s="39">
        <f t="shared" si="16"/>
        <v>0</v>
      </c>
      <c r="M871" s="5">
        <f t="shared" si="17"/>
        <v>0</v>
      </c>
    </row>
    <row r="872" ht="15.75" customHeight="1">
      <c r="E872" s="39"/>
      <c r="F872" s="45"/>
      <c r="G872" s="44"/>
      <c r="H872" s="17"/>
      <c r="I872" s="45"/>
      <c r="J872" s="45"/>
      <c r="K872" s="39">
        <f t="shared" si="15"/>
        <v>0</v>
      </c>
      <c r="L872" s="39">
        <f t="shared" si="16"/>
        <v>0</v>
      </c>
      <c r="M872" s="5">
        <f t="shared" si="17"/>
        <v>0</v>
      </c>
    </row>
    <row r="873" ht="15.75" customHeight="1">
      <c r="E873" s="39"/>
      <c r="F873" s="45"/>
      <c r="G873" s="44"/>
      <c r="H873" s="17"/>
      <c r="I873" s="45"/>
      <c r="J873" s="45"/>
      <c r="K873" s="39">
        <f t="shared" si="15"/>
        <v>0</v>
      </c>
      <c r="L873" s="39">
        <f t="shared" si="16"/>
        <v>0</v>
      </c>
      <c r="M873" s="5">
        <f t="shared" si="17"/>
        <v>0</v>
      </c>
    </row>
    <row r="874" ht="15.75" customHeight="1">
      <c r="E874" s="39"/>
      <c r="F874" s="45"/>
      <c r="G874" s="44"/>
      <c r="H874" s="17"/>
      <c r="I874" s="45"/>
      <c r="J874" s="45"/>
      <c r="K874" s="39">
        <f t="shared" si="15"/>
        <v>0</v>
      </c>
      <c r="L874" s="39">
        <f t="shared" si="16"/>
        <v>0</v>
      </c>
      <c r="M874" s="5">
        <f t="shared" si="17"/>
        <v>0</v>
      </c>
    </row>
    <row r="875" ht="15.75" customHeight="1">
      <c r="E875" s="39"/>
      <c r="F875" s="45"/>
      <c r="G875" s="44"/>
      <c r="H875" s="17"/>
      <c r="I875" s="45"/>
      <c r="J875" s="45"/>
      <c r="K875" s="39">
        <f t="shared" si="15"/>
        <v>0</v>
      </c>
      <c r="L875" s="39">
        <f t="shared" si="16"/>
        <v>0</v>
      </c>
      <c r="M875" s="5">
        <f t="shared" si="17"/>
        <v>0</v>
      </c>
    </row>
    <row r="876" ht="15.75" customHeight="1">
      <c r="E876" s="39"/>
      <c r="F876" s="45"/>
      <c r="G876" s="44"/>
      <c r="H876" s="17"/>
      <c r="I876" s="45"/>
      <c r="J876" s="45"/>
      <c r="K876" s="39">
        <f t="shared" si="15"/>
        <v>0</v>
      </c>
      <c r="L876" s="39">
        <f t="shared" si="16"/>
        <v>0</v>
      </c>
      <c r="M876" s="5">
        <f t="shared" si="17"/>
        <v>0</v>
      </c>
    </row>
    <row r="877" ht="15.75" customHeight="1">
      <c r="E877" s="39"/>
      <c r="F877" s="45"/>
      <c r="G877" s="44"/>
      <c r="H877" s="17"/>
      <c r="I877" s="45"/>
      <c r="J877" s="45"/>
      <c r="K877" s="39">
        <f t="shared" si="15"/>
        <v>0</v>
      </c>
      <c r="L877" s="39">
        <f t="shared" si="16"/>
        <v>0</v>
      </c>
      <c r="M877" s="5">
        <f t="shared" si="17"/>
        <v>0</v>
      </c>
    </row>
    <row r="878" ht="15.75" customHeight="1">
      <c r="E878" s="39"/>
      <c r="F878" s="45"/>
      <c r="G878" s="44"/>
      <c r="H878" s="17"/>
      <c r="I878" s="45"/>
      <c r="J878" s="45"/>
      <c r="K878" s="39">
        <f t="shared" si="15"/>
        <v>0</v>
      </c>
      <c r="L878" s="39">
        <f t="shared" si="16"/>
        <v>0</v>
      </c>
      <c r="M878" s="5">
        <f t="shared" si="17"/>
        <v>0</v>
      </c>
    </row>
    <row r="879" ht="15.75" customHeight="1">
      <c r="E879" s="39"/>
      <c r="F879" s="45"/>
      <c r="G879" s="44"/>
      <c r="H879" s="17"/>
      <c r="I879" s="45"/>
      <c r="J879" s="45"/>
      <c r="K879" s="39">
        <f t="shared" si="15"/>
        <v>0</v>
      </c>
      <c r="L879" s="39">
        <f t="shared" si="16"/>
        <v>0</v>
      </c>
      <c r="M879" s="5">
        <f t="shared" si="17"/>
        <v>0</v>
      </c>
    </row>
    <row r="880" ht="15.75" customHeight="1">
      <c r="E880" s="39"/>
      <c r="F880" s="45"/>
      <c r="G880" s="44"/>
      <c r="H880" s="17"/>
      <c r="I880" s="45"/>
      <c r="J880" s="45"/>
      <c r="K880" s="39">
        <f t="shared" si="15"/>
        <v>0</v>
      </c>
      <c r="L880" s="39">
        <f t="shared" si="16"/>
        <v>0</v>
      </c>
      <c r="M880" s="5">
        <f t="shared" si="17"/>
        <v>0</v>
      </c>
    </row>
    <row r="881" ht="15.75" customHeight="1">
      <c r="E881" s="39"/>
      <c r="F881" s="45"/>
      <c r="G881" s="44"/>
      <c r="H881" s="17"/>
      <c r="I881" s="45"/>
      <c r="J881" s="45"/>
      <c r="K881" s="39">
        <f t="shared" si="15"/>
        <v>0</v>
      </c>
      <c r="L881" s="39">
        <f t="shared" si="16"/>
        <v>0</v>
      </c>
      <c r="M881" s="5">
        <f t="shared" si="17"/>
        <v>0</v>
      </c>
    </row>
    <row r="882" ht="15.75" customHeight="1">
      <c r="E882" s="39"/>
      <c r="F882" s="45"/>
      <c r="G882" s="44"/>
      <c r="H882" s="17"/>
      <c r="I882" s="45"/>
      <c r="J882" s="45"/>
      <c r="K882" s="39">
        <f t="shared" si="15"/>
        <v>0</v>
      </c>
      <c r="L882" s="39">
        <f t="shared" si="16"/>
        <v>0</v>
      </c>
      <c r="M882" s="5">
        <f t="shared" si="17"/>
        <v>0</v>
      </c>
    </row>
    <row r="883" ht="15.75" customHeight="1">
      <c r="E883" s="39"/>
      <c r="F883" s="45"/>
      <c r="G883" s="44"/>
      <c r="H883" s="17"/>
      <c r="I883" s="45"/>
      <c r="J883" s="45"/>
      <c r="K883" s="39">
        <f t="shared" si="15"/>
        <v>0</v>
      </c>
      <c r="L883" s="39">
        <f t="shared" si="16"/>
        <v>0</v>
      </c>
      <c r="M883" s="5">
        <f t="shared" si="17"/>
        <v>0</v>
      </c>
    </row>
    <row r="884" ht="15.75" customHeight="1">
      <c r="E884" s="39"/>
      <c r="F884" s="45"/>
      <c r="G884" s="44"/>
      <c r="H884" s="17"/>
      <c r="I884" s="45"/>
      <c r="J884" s="45"/>
      <c r="K884" s="39">
        <f t="shared" si="15"/>
        <v>0</v>
      </c>
      <c r="L884" s="39">
        <f t="shared" si="16"/>
        <v>0</v>
      </c>
      <c r="M884" s="5">
        <f t="shared" si="17"/>
        <v>0</v>
      </c>
    </row>
    <row r="885" ht="15.75" customHeight="1">
      <c r="E885" s="39"/>
      <c r="F885" s="45"/>
      <c r="G885" s="44"/>
      <c r="H885" s="17"/>
      <c r="I885" s="45"/>
      <c r="J885" s="45"/>
      <c r="K885" s="39">
        <f t="shared" si="15"/>
        <v>0</v>
      </c>
      <c r="L885" s="39">
        <f t="shared" si="16"/>
        <v>0</v>
      </c>
      <c r="M885" s="5">
        <f t="shared" si="17"/>
        <v>0</v>
      </c>
    </row>
    <row r="886" ht="15.75" customHeight="1">
      <c r="E886" s="39"/>
      <c r="F886" s="45"/>
      <c r="G886" s="44"/>
      <c r="H886" s="17"/>
      <c r="I886" s="45"/>
      <c r="J886" s="45"/>
      <c r="K886" s="39">
        <f t="shared" si="15"/>
        <v>0</v>
      </c>
      <c r="L886" s="39">
        <f t="shared" si="16"/>
        <v>0</v>
      </c>
      <c r="M886" s="5">
        <f t="shared" si="17"/>
        <v>0</v>
      </c>
    </row>
    <row r="887" ht="15.75" customHeight="1">
      <c r="E887" s="39"/>
      <c r="F887" s="45"/>
      <c r="G887" s="44"/>
      <c r="H887" s="17"/>
      <c r="I887" s="45"/>
      <c r="J887" s="45"/>
      <c r="K887" s="39">
        <f t="shared" si="15"/>
        <v>0</v>
      </c>
      <c r="L887" s="39">
        <f t="shared" si="16"/>
        <v>0</v>
      </c>
      <c r="M887" s="5">
        <f t="shared" si="17"/>
        <v>0</v>
      </c>
    </row>
    <row r="888" ht="15.75" customHeight="1">
      <c r="E888" s="39"/>
      <c r="F888" s="45"/>
      <c r="G888" s="44"/>
      <c r="H888" s="17"/>
      <c r="I888" s="45"/>
      <c r="J888" s="45"/>
      <c r="K888" s="39">
        <f t="shared" si="15"/>
        <v>0</v>
      </c>
      <c r="L888" s="39">
        <f t="shared" si="16"/>
        <v>0</v>
      </c>
      <c r="M888" s="5">
        <f t="shared" si="17"/>
        <v>0</v>
      </c>
    </row>
    <row r="889" ht="15.75" customHeight="1">
      <c r="E889" s="39"/>
      <c r="F889" s="45"/>
      <c r="G889" s="44"/>
      <c r="H889" s="17"/>
      <c r="I889" s="45"/>
      <c r="J889" s="45"/>
      <c r="K889" s="39">
        <f t="shared" si="15"/>
        <v>0</v>
      </c>
      <c r="L889" s="39">
        <f t="shared" si="16"/>
        <v>0</v>
      </c>
      <c r="M889" s="5">
        <f t="shared" si="17"/>
        <v>0</v>
      </c>
    </row>
    <row r="890" ht="15.75" customHeight="1">
      <c r="E890" s="39"/>
      <c r="F890" s="45"/>
      <c r="G890" s="44"/>
      <c r="H890" s="17"/>
      <c r="I890" s="45"/>
      <c r="J890" s="45"/>
      <c r="K890" s="39">
        <f t="shared" si="15"/>
        <v>0</v>
      </c>
      <c r="L890" s="39">
        <f t="shared" si="16"/>
        <v>0</v>
      </c>
      <c r="M890" s="5">
        <f t="shared" si="17"/>
        <v>0</v>
      </c>
    </row>
    <row r="891" ht="15.75" customHeight="1">
      <c r="E891" s="39"/>
      <c r="F891" s="45"/>
      <c r="G891" s="44"/>
      <c r="H891" s="17"/>
      <c r="I891" s="45"/>
      <c r="J891" s="45"/>
      <c r="K891" s="39">
        <f t="shared" si="15"/>
        <v>0</v>
      </c>
      <c r="L891" s="39">
        <f t="shared" si="16"/>
        <v>0</v>
      </c>
      <c r="M891" s="5">
        <f t="shared" si="17"/>
        <v>0</v>
      </c>
    </row>
    <row r="892" ht="15.75" customHeight="1">
      <c r="E892" s="39"/>
      <c r="F892" s="45"/>
      <c r="G892" s="44"/>
      <c r="H892" s="17"/>
      <c r="I892" s="45"/>
      <c r="J892" s="45"/>
      <c r="K892" s="39">
        <f t="shared" si="15"/>
        <v>0</v>
      </c>
      <c r="L892" s="39">
        <f t="shared" si="16"/>
        <v>0</v>
      </c>
      <c r="M892" s="5">
        <f t="shared" si="17"/>
        <v>0</v>
      </c>
    </row>
    <row r="893" ht="15.75" customHeight="1">
      <c r="E893" s="39"/>
      <c r="F893" s="45"/>
      <c r="G893" s="44"/>
      <c r="H893" s="17"/>
      <c r="I893" s="45"/>
      <c r="J893" s="45"/>
      <c r="K893" s="39">
        <f t="shared" si="15"/>
        <v>0</v>
      </c>
      <c r="L893" s="39">
        <f t="shared" si="16"/>
        <v>0</v>
      </c>
      <c r="M893" s="5">
        <f t="shared" si="17"/>
        <v>0</v>
      </c>
    </row>
    <row r="894" ht="15.75" customHeight="1">
      <c r="E894" s="39"/>
      <c r="F894" s="45"/>
      <c r="G894" s="44"/>
      <c r="H894" s="17"/>
      <c r="I894" s="45"/>
      <c r="J894" s="45"/>
      <c r="K894" s="39">
        <f t="shared" si="15"/>
        <v>0</v>
      </c>
      <c r="L894" s="39">
        <f t="shared" si="16"/>
        <v>0</v>
      </c>
      <c r="M894" s="5">
        <f t="shared" si="17"/>
        <v>0</v>
      </c>
    </row>
    <row r="895" ht="15.75" customHeight="1">
      <c r="E895" s="39"/>
      <c r="F895" s="45"/>
      <c r="G895" s="44"/>
      <c r="H895" s="17"/>
      <c r="I895" s="45"/>
      <c r="J895" s="45"/>
      <c r="K895" s="39">
        <f t="shared" si="15"/>
        <v>0</v>
      </c>
      <c r="L895" s="39">
        <f t="shared" si="16"/>
        <v>0</v>
      </c>
      <c r="M895" s="5">
        <f t="shared" si="17"/>
        <v>0</v>
      </c>
    </row>
    <row r="896" ht="15.75" customHeight="1">
      <c r="E896" s="39"/>
      <c r="F896" s="45"/>
      <c r="G896" s="44"/>
      <c r="H896" s="17"/>
      <c r="I896" s="45"/>
      <c r="J896" s="45"/>
      <c r="K896" s="39">
        <f t="shared" si="15"/>
        <v>0</v>
      </c>
      <c r="L896" s="39">
        <f t="shared" si="16"/>
        <v>0</v>
      </c>
      <c r="M896" s="5">
        <f t="shared" si="17"/>
        <v>0</v>
      </c>
    </row>
    <row r="897" ht="15.75" customHeight="1">
      <c r="E897" s="39"/>
      <c r="F897" s="45"/>
      <c r="G897" s="44"/>
      <c r="H897" s="17"/>
      <c r="I897" s="45"/>
      <c r="J897" s="45"/>
      <c r="K897" s="39">
        <f t="shared" si="15"/>
        <v>0</v>
      </c>
      <c r="L897" s="39">
        <f t="shared" si="16"/>
        <v>0</v>
      </c>
      <c r="M897" s="5">
        <f t="shared" si="17"/>
        <v>0</v>
      </c>
    </row>
    <row r="898" ht="15.75" customHeight="1">
      <c r="E898" s="39"/>
      <c r="F898" s="45"/>
      <c r="G898" s="44"/>
      <c r="H898" s="17"/>
      <c r="I898" s="45"/>
      <c r="J898" s="45"/>
      <c r="K898" s="39">
        <f t="shared" si="15"/>
        <v>0</v>
      </c>
      <c r="L898" s="39">
        <f t="shared" si="16"/>
        <v>0</v>
      </c>
      <c r="M898" s="5">
        <f t="shared" si="17"/>
        <v>0</v>
      </c>
    </row>
    <row r="899" ht="15.75" customHeight="1">
      <c r="E899" s="39"/>
      <c r="F899" s="45"/>
      <c r="G899" s="44"/>
      <c r="H899" s="17"/>
      <c r="I899" s="45"/>
      <c r="J899" s="45"/>
      <c r="K899" s="39">
        <f t="shared" si="15"/>
        <v>0</v>
      </c>
      <c r="L899" s="39">
        <f t="shared" si="16"/>
        <v>0</v>
      </c>
      <c r="M899" s="5">
        <f t="shared" si="17"/>
        <v>0</v>
      </c>
    </row>
    <row r="900" ht="15.75" customHeight="1">
      <c r="E900" s="39"/>
      <c r="F900" s="45"/>
      <c r="G900" s="44"/>
      <c r="H900" s="17"/>
      <c r="I900" s="45"/>
      <c r="J900" s="45"/>
      <c r="K900" s="39">
        <f t="shared" si="15"/>
        <v>0</v>
      </c>
      <c r="L900" s="39">
        <f t="shared" si="16"/>
        <v>0</v>
      </c>
      <c r="M900" s="5">
        <f t="shared" si="17"/>
        <v>0</v>
      </c>
    </row>
    <row r="901" ht="15.75" customHeight="1">
      <c r="E901" s="39"/>
      <c r="F901" s="45"/>
      <c r="G901" s="44"/>
      <c r="H901" s="17"/>
      <c r="I901" s="45"/>
      <c r="J901" s="45"/>
      <c r="K901" s="39">
        <f t="shared" si="15"/>
        <v>0</v>
      </c>
      <c r="L901" s="39">
        <f t="shared" si="16"/>
        <v>0</v>
      </c>
      <c r="M901" s="5">
        <f t="shared" si="17"/>
        <v>0</v>
      </c>
    </row>
    <row r="902" ht="15.75" customHeight="1">
      <c r="E902" s="39"/>
      <c r="F902" s="45"/>
      <c r="G902" s="44"/>
      <c r="H902" s="17"/>
      <c r="I902" s="45"/>
      <c r="J902" s="45"/>
      <c r="K902" s="39">
        <f t="shared" si="15"/>
        <v>0</v>
      </c>
      <c r="L902" s="39">
        <f t="shared" si="16"/>
        <v>0</v>
      </c>
      <c r="M902" s="5">
        <f t="shared" si="17"/>
        <v>0</v>
      </c>
    </row>
    <row r="903" ht="15.75" customHeight="1">
      <c r="E903" s="39"/>
      <c r="F903" s="45"/>
      <c r="G903" s="44"/>
      <c r="H903" s="17"/>
      <c r="I903" s="45"/>
      <c r="J903" s="45"/>
      <c r="K903" s="39">
        <f t="shared" si="15"/>
        <v>0</v>
      </c>
      <c r="L903" s="39">
        <f t="shared" si="16"/>
        <v>0</v>
      </c>
      <c r="M903" s="5">
        <f t="shared" si="17"/>
        <v>0</v>
      </c>
    </row>
    <row r="904" ht="15.75" customHeight="1">
      <c r="E904" s="39"/>
      <c r="F904" s="45"/>
      <c r="G904" s="44"/>
      <c r="H904" s="17"/>
      <c r="I904" s="45"/>
      <c r="J904" s="45"/>
      <c r="K904" s="39">
        <f t="shared" si="15"/>
        <v>0</v>
      </c>
      <c r="L904" s="39">
        <f t="shared" si="16"/>
        <v>0</v>
      </c>
      <c r="M904" s="5">
        <f t="shared" si="17"/>
        <v>0</v>
      </c>
    </row>
    <row r="905" ht="15.75" customHeight="1">
      <c r="E905" s="39"/>
      <c r="F905" s="45"/>
      <c r="G905" s="44"/>
      <c r="H905" s="17"/>
      <c r="I905" s="45"/>
      <c r="J905" s="45"/>
      <c r="K905" s="39">
        <f t="shared" si="15"/>
        <v>0</v>
      </c>
      <c r="L905" s="39">
        <f t="shared" si="16"/>
        <v>0</v>
      </c>
      <c r="M905" s="5">
        <f t="shared" si="17"/>
        <v>0</v>
      </c>
    </row>
    <row r="906" ht="15.75" customHeight="1">
      <c r="E906" s="39"/>
      <c r="F906" s="45"/>
      <c r="G906" s="44"/>
      <c r="H906" s="17"/>
      <c r="I906" s="45"/>
      <c r="J906" s="45"/>
      <c r="K906" s="39">
        <f t="shared" si="15"/>
        <v>0</v>
      </c>
      <c r="L906" s="39">
        <f t="shared" si="16"/>
        <v>0</v>
      </c>
      <c r="M906" s="5">
        <f t="shared" si="17"/>
        <v>0</v>
      </c>
    </row>
    <row r="907" ht="15.75" customHeight="1">
      <c r="E907" s="39"/>
      <c r="F907" s="45"/>
      <c r="G907" s="44"/>
      <c r="H907" s="17"/>
      <c r="I907" s="45"/>
      <c r="J907" s="45"/>
      <c r="K907" s="39">
        <f t="shared" si="15"/>
        <v>0</v>
      </c>
      <c r="L907" s="39">
        <f t="shared" si="16"/>
        <v>0</v>
      </c>
      <c r="M907" s="5">
        <f t="shared" si="17"/>
        <v>0</v>
      </c>
    </row>
    <row r="908" ht="15.75" customHeight="1">
      <c r="E908" s="39"/>
      <c r="F908" s="45"/>
      <c r="G908" s="44"/>
      <c r="H908" s="17"/>
      <c r="I908" s="45"/>
      <c r="J908" s="45"/>
      <c r="K908" s="39">
        <f t="shared" si="15"/>
        <v>0</v>
      </c>
      <c r="L908" s="39">
        <f t="shared" si="16"/>
        <v>0</v>
      </c>
      <c r="M908" s="5">
        <f t="shared" si="17"/>
        <v>0</v>
      </c>
    </row>
    <row r="909" ht="15.75" customHeight="1">
      <c r="E909" s="39"/>
      <c r="F909" s="45"/>
      <c r="G909" s="44"/>
      <c r="H909" s="17"/>
      <c r="I909" s="45"/>
      <c r="J909" s="45"/>
      <c r="K909" s="39">
        <f t="shared" si="15"/>
        <v>0</v>
      </c>
      <c r="L909" s="39">
        <f t="shared" si="16"/>
        <v>0</v>
      </c>
      <c r="M909" s="5">
        <f t="shared" si="17"/>
        <v>0</v>
      </c>
    </row>
    <row r="910" ht="15.75" customHeight="1">
      <c r="E910" s="39"/>
      <c r="F910" s="45"/>
      <c r="G910" s="44"/>
      <c r="H910" s="17"/>
      <c r="I910" s="45"/>
      <c r="J910" s="45"/>
      <c r="K910" s="39">
        <f t="shared" si="15"/>
        <v>0</v>
      </c>
      <c r="L910" s="39">
        <f t="shared" si="16"/>
        <v>0</v>
      </c>
      <c r="M910" s="5">
        <f t="shared" si="17"/>
        <v>0</v>
      </c>
    </row>
    <row r="911" ht="15.75" customHeight="1">
      <c r="E911" s="39"/>
      <c r="F911" s="45"/>
      <c r="G911" s="44"/>
      <c r="H911" s="17"/>
      <c r="I911" s="45"/>
      <c r="J911" s="45"/>
      <c r="K911" s="39">
        <f t="shared" si="15"/>
        <v>0</v>
      </c>
      <c r="L911" s="39">
        <f t="shared" si="16"/>
        <v>0</v>
      </c>
      <c r="M911" s="5">
        <f t="shared" si="17"/>
        <v>0</v>
      </c>
    </row>
    <row r="912" ht="15.75" customHeight="1">
      <c r="E912" s="39"/>
      <c r="F912" s="45"/>
      <c r="G912" s="44"/>
      <c r="H912" s="17"/>
      <c r="I912" s="45"/>
      <c r="J912" s="45"/>
      <c r="K912" s="39">
        <f t="shared" si="15"/>
        <v>0</v>
      </c>
      <c r="L912" s="39">
        <f t="shared" si="16"/>
        <v>0</v>
      </c>
      <c r="M912" s="5">
        <f t="shared" si="17"/>
        <v>0</v>
      </c>
    </row>
    <row r="913" ht="15.75" customHeight="1">
      <c r="E913" s="39"/>
      <c r="F913" s="45"/>
      <c r="G913" s="44"/>
      <c r="H913" s="17"/>
      <c r="I913" s="45"/>
      <c r="J913" s="45"/>
      <c r="K913" s="39">
        <f t="shared" si="15"/>
        <v>0</v>
      </c>
      <c r="L913" s="39">
        <f t="shared" si="16"/>
        <v>0</v>
      </c>
      <c r="M913" s="5">
        <f t="shared" si="17"/>
        <v>0</v>
      </c>
    </row>
    <row r="914" ht="15.75" customHeight="1">
      <c r="E914" s="39"/>
      <c r="F914" s="45"/>
      <c r="G914" s="44"/>
      <c r="H914" s="17"/>
      <c r="I914" s="45"/>
      <c r="J914" s="45"/>
      <c r="K914" s="39">
        <f t="shared" si="15"/>
        <v>0</v>
      </c>
      <c r="L914" s="39">
        <f t="shared" si="16"/>
        <v>0</v>
      </c>
      <c r="M914" s="5">
        <f t="shared" si="17"/>
        <v>0</v>
      </c>
    </row>
    <row r="915" ht="15.75" customHeight="1">
      <c r="E915" s="39"/>
      <c r="F915" s="45"/>
      <c r="G915" s="44"/>
      <c r="H915" s="17"/>
      <c r="I915" s="45"/>
      <c r="J915" s="45"/>
      <c r="K915" s="39">
        <f t="shared" si="15"/>
        <v>0</v>
      </c>
      <c r="L915" s="39">
        <f t="shared" si="16"/>
        <v>0</v>
      </c>
      <c r="M915" s="5">
        <f t="shared" si="17"/>
        <v>0</v>
      </c>
    </row>
    <row r="916" ht="15.75" customHeight="1">
      <c r="E916" s="39"/>
      <c r="F916" s="45"/>
      <c r="G916" s="44"/>
      <c r="H916" s="17"/>
      <c r="I916" s="45"/>
      <c r="J916" s="45"/>
      <c r="K916" s="39">
        <f t="shared" si="15"/>
        <v>0</v>
      </c>
      <c r="L916" s="39">
        <f t="shared" si="16"/>
        <v>0</v>
      </c>
      <c r="M916" s="5">
        <f t="shared" si="17"/>
        <v>0</v>
      </c>
    </row>
    <row r="917" ht="15.75" customHeight="1">
      <c r="E917" s="39"/>
      <c r="F917" s="45"/>
      <c r="G917" s="44"/>
      <c r="H917" s="17"/>
      <c r="I917" s="45"/>
      <c r="J917" s="45"/>
      <c r="K917" s="39">
        <f t="shared" si="15"/>
        <v>0</v>
      </c>
      <c r="L917" s="39">
        <f t="shared" si="16"/>
        <v>0</v>
      </c>
      <c r="M917" s="5">
        <f t="shared" si="17"/>
        <v>0</v>
      </c>
    </row>
    <row r="918" ht="15.75" customHeight="1">
      <c r="E918" s="39"/>
      <c r="F918" s="45"/>
      <c r="G918" s="44"/>
      <c r="H918" s="17"/>
      <c r="I918" s="45"/>
      <c r="J918" s="45"/>
      <c r="K918" s="39">
        <f t="shared" si="15"/>
        <v>0</v>
      </c>
      <c r="L918" s="39">
        <f t="shared" si="16"/>
        <v>0</v>
      </c>
      <c r="M918" s="5">
        <f t="shared" si="17"/>
        <v>0</v>
      </c>
    </row>
    <row r="919" ht="15.75" customHeight="1">
      <c r="E919" s="39"/>
      <c r="F919" s="45"/>
      <c r="G919" s="44"/>
      <c r="H919" s="17"/>
      <c r="I919" s="45"/>
      <c r="J919" s="45"/>
      <c r="K919" s="39">
        <f t="shared" si="15"/>
        <v>0</v>
      </c>
      <c r="L919" s="39">
        <f t="shared" si="16"/>
        <v>0</v>
      </c>
      <c r="M919" s="5">
        <f t="shared" si="17"/>
        <v>0</v>
      </c>
    </row>
    <row r="920" ht="15.75" customHeight="1">
      <c r="E920" s="39"/>
      <c r="F920" s="45"/>
      <c r="G920" s="44"/>
      <c r="H920" s="17"/>
      <c r="I920" s="45"/>
      <c r="J920" s="45"/>
      <c r="K920" s="39">
        <f t="shared" si="15"/>
        <v>0</v>
      </c>
      <c r="L920" s="39">
        <f t="shared" si="16"/>
        <v>0</v>
      </c>
      <c r="M920" s="5">
        <f t="shared" si="17"/>
        <v>0</v>
      </c>
    </row>
    <row r="921" ht="15.75" customHeight="1">
      <c r="E921" s="39"/>
      <c r="F921" s="45"/>
      <c r="G921" s="44"/>
      <c r="H921" s="17"/>
      <c r="I921" s="45"/>
      <c r="J921" s="45"/>
      <c r="K921" s="39">
        <f t="shared" si="15"/>
        <v>0</v>
      </c>
      <c r="L921" s="39">
        <f t="shared" si="16"/>
        <v>0</v>
      </c>
      <c r="M921" s="5">
        <f t="shared" si="17"/>
        <v>0</v>
      </c>
    </row>
    <row r="922" ht="15.75" customHeight="1">
      <c r="E922" s="39"/>
      <c r="F922" s="45"/>
      <c r="G922" s="44"/>
      <c r="H922" s="17"/>
      <c r="I922" s="45"/>
      <c r="J922" s="45"/>
      <c r="K922" s="39">
        <f t="shared" si="15"/>
        <v>0</v>
      </c>
      <c r="L922" s="39">
        <f t="shared" si="16"/>
        <v>0</v>
      </c>
      <c r="M922" s="5">
        <f t="shared" si="17"/>
        <v>0</v>
      </c>
    </row>
    <row r="923" ht="15.75" customHeight="1">
      <c r="E923" s="39"/>
      <c r="F923" s="45"/>
      <c r="G923" s="44"/>
      <c r="H923" s="17"/>
      <c r="I923" s="45"/>
      <c r="J923" s="45"/>
      <c r="K923" s="39">
        <f t="shared" si="15"/>
        <v>0</v>
      </c>
      <c r="L923" s="39">
        <f t="shared" si="16"/>
        <v>0</v>
      </c>
      <c r="M923" s="5">
        <f t="shared" si="17"/>
        <v>0</v>
      </c>
    </row>
    <row r="924" ht="15.75" customHeight="1">
      <c r="E924" s="39"/>
      <c r="F924" s="45"/>
      <c r="G924" s="44"/>
      <c r="H924" s="17"/>
      <c r="I924" s="45"/>
      <c r="J924" s="45"/>
      <c r="K924" s="39">
        <f t="shared" si="15"/>
        <v>0</v>
      </c>
      <c r="L924" s="39">
        <f t="shared" si="16"/>
        <v>0</v>
      </c>
      <c r="M924" s="5">
        <f t="shared" si="17"/>
        <v>0</v>
      </c>
    </row>
    <row r="925" ht="15.75" customHeight="1">
      <c r="E925" s="39"/>
      <c r="F925" s="45"/>
      <c r="G925" s="44"/>
      <c r="H925" s="17"/>
      <c r="I925" s="45"/>
      <c r="J925" s="45"/>
      <c r="K925" s="39">
        <f t="shared" si="15"/>
        <v>0</v>
      </c>
      <c r="L925" s="39">
        <f t="shared" si="16"/>
        <v>0</v>
      </c>
      <c r="M925" s="5">
        <f t="shared" si="17"/>
        <v>0</v>
      </c>
    </row>
    <row r="926" ht="15.75" customHeight="1">
      <c r="E926" s="39"/>
      <c r="F926" s="45"/>
      <c r="G926" s="44"/>
      <c r="H926" s="17"/>
      <c r="I926" s="45"/>
      <c r="J926" s="45"/>
      <c r="K926" s="39">
        <f t="shared" si="15"/>
        <v>0</v>
      </c>
      <c r="L926" s="39">
        <f t="shared" si="16"/>
        <v>0</v>
      </c>
      <c r="M926" s="5">
        <f t="shared" si="17"/>
        <v>0</v>
      </c>
    </row>
    <row r="927" ht="15.75" customHeight="1">
      <c r="E927" s="39"/>
      <c r="F927" s="45"/>
      <c r="G927" s="44"/>
      <c r="H927" s="17"/>
      <c r="I927" s="45"/>
      <c r="J927" s="45"/>
      <c r="K927" s="39">
        <f t="shared" si="15"/>
        <v>0</v>
      </c>
      <c r="L927" s="39">
        <f t="shared" si="16"/>
        <v>0</v>
      </c>
      <c r="M927" s="5">
        <f t="shared" si="17"/>
        <v>0</v>
      </c>
    </row>
    <row r="928" ht="15.75" customHeight="1">
      <c r="E928" s="39"/>
      <c r="F928" s="45"/>
      <c r="G928" s="44"/>
      <c r="H928" s="17"/>
      <c r="I928" s="45"/>
      <c r="J928" s="45"/>
      <c r="K928" s="39">
        <f t="shared" si="15"/>
        <v>0</v>
      </c>
      <c r="L928" s="39">
        <f t="shared" si="16"/>
        <v>0</v>
      </c>
      <c r="M928" s="5">
        <f t="shared" si="17"/>
        <v>0</v>
      </c>
    </row>
    <row r="929" ht="15.75" customHeight="1">
      <c r="E929" s="39"/>
      <c r="F929" s="45"/>
      <c r="G929" s="44"/>
      <c r="H929" s="17"/>
      <c r="I929" s="45"/>
      <c r="J929" s="45"/>
      <c r="K929" s="39">
        <f t="shared" si="15"/>
        <v>0</v>
      </c>
      <c r="L929" s="39">
        <f t="shared" si="16"/>
        <v>0</v>
      </c>
      <c r="M929" s="5">
        <f t="shared" si="17"/>
        <v>0</v>
      </c>
    </row>
    <row r="930" ht="15.75" customHeight="1">
      <c r="E930" s="39"/>
      <c r="F930" s="45"/>
      <c r="G930" s="44"/>
      <c r="H930" s="17"/>
      <c r="I930" s="45"/>
      <c r="J930" s="45"/>
      <c r="K930" s="39">
        <f t="shared" si="15"/>
        <v>0</v>
      </c>
      <c r="L930" s="39">
        <f t="shared" si="16"/>
        <v>0</v>
      </c>
      <c r="M930" s="5">
        <f t="shared" si="17"/>
        <v>0</v>
      </c>
    </row>
    <row r="931" ht="15.75" customHeight="1">
      <c r="E931" s="39"/>
      <c r="F931" s="45"/>
      <c r="G931" s="44"/>
      <c r="H931" s="17"/>
      <c r="I931" s="45"/>
      <c r="J931" s="45"/>
      <c r="K931" s="39">
        <f t="shared" si="15"/>
        <v>0</v>
      </c>
      <c r="L931" s="39">
        <f t="shared" si="16"/>
        <v>0</v>
      </c>
      <c r="M931" s="5">
        <f t="shared" si="17"/>
        <v>0</v>
      </c>
    </row>
    <row r="932" ht="15.75" customHeight="1">
      <c r="E932" s="39"/>
      <c r="F932" s="45"/>
      <c r="G932" s="44"/>
      <c r="H932" s="17"/>
      <c r="I932" s="45"/>
      <c r="J932" s="45"/>
      <c r="K932" s="39">
        <f t="shared" si="15"/>
        <v>0</v>
      </c>
      <c r="L932" s="39">
        <f t="shared" si="16"/>
        <v>0</v>
      </c>
      <c r="M932" s="5">
        <f t="shared" si="17"/>
        <v>0</v>
      </c>
    </row>
    <row r="933" ht="15.75" customHeight="1">
      <c r="E933" s="39"/>
      <c r="F933" s="45"/>
      <c r="G933" s="44"/>
      <c r="H933" s="17"/>
      <c r="I933" s="45"/>
      <c r="J933" s="45"/>
      <c r="K933" s="39">
        <f t="shared" si="15"/>
        <v>0</v>
      </c>
      <c r="L933" s="39">
        <f t="shared" si="16"/>
        <v>0</v>
      </c>
      <c r="M933" s="5">
        <f t="shared" si="17"/>
        <v>0</v>
      </c>
    </row>
    <row r="934" ht="15.75" customHeight="1">
      <c r="E934" s="39"/>
      <c r="F934" s="45"/>
      <c r="G934" s="44"/>
      <c r="H934" s="17"/>
      <c r="I934" s="45"/>
      <c r="J934" s="45"/>
      <c r="K934" s="39">
        <f t="shared" si="15"/>
        <v>0</v>
      </c>
      <c r="L934" s="39">
        <f t="shared" si="16"/>
        <v>0</v>
      </c>
      <c r="M934" s="5">
        <f t="shared" si="17"/>
        <v>0</v>
      </c>
    </row>
    <row r="935" ht="15.75" customHeight="1">
      <c r="E935" s="39"/>
      <c r="F935" s="45"/>
      <c r="G935" s="44"/>
      <c r="H935" s="17"/>
      <c r="I935" s="45"/>
      <c r="J935" s="45"/>
      <c r="K935" s="39">
        <f t="shared" si="15"/>
        <v>0</v>
      </c>
      <c r="L935" s="39">
        <f t="shared" si="16"/>
        <v>0</v>
      </c>
      <c r="M935" s="5">
        <f t="shared" si="17"/>
        <v>0</v>
      </c>
    </row>
    <row r="936" ht="15.75" customHeight="1">
      <c r="E936" s="39"/>
      <c r="F936" s="45"/>
      <c r="G936" s="44"/>
      <c r="H936" s="17"/>
      <c r="I936" s="45"/>
      <c r="J936" s="45"/>
      <c r="K936" s="39">
        <f t="shared" si="15"/>
        <v>0</v>
      </c>
      <c r="L936" s="39">
        <f t="shared" si="16"/>
        <v>0</v>
      </c>
      <c r="M936" s="5">
        <f t="shared" si="17"/>
        <v>0</v>
      </c>
    </row>
    <row r="937" ht="15.75" customHeight="1">
      <c r="E937" s="39"/>
      <c r="F937" s="45"/>
      <c r="G937" s="44"/>
      <c r="H937" s="17"/>
      <c r="I937" s="45"/>
      <c r="J937" s="45"/>
      <c r="K937" s="39">
        <f t="shared" si="15"/>
        <v>0</v>
      </c>
      <c r="L937" s="39">
        <f t="shared" si="16"/>
        <v>0</v>
      </c>
      <c r="M937" s="5">
        <f t="shared" si="17"/>
        <v>0</v>
      </c>
    </row>
    <row r="938" ht="15.75" customHeight="1">
      <c r="E938" s="39"/>
      <c r="F938" s="45"/>
      <c r="G938" s="44"/>
      <c r="H938" s="17"/>
      <c r="I938" s="45"/>
      <c r="J938" s="45"/>
      <c r="K938" s="39">
        <f t="shared" si="15"/>
        <v>0</v>
      </c>
      <c r="L938" s="39">
        <f t="shared" si="16"/>
        <v>0</v>
      </c>
      <c r="M938" s="5">
        <f t="shared" si="17"/>
        <v>0</v>
      </c>
    </row>
    <row r="939" ht="15.75" customHeight="1">
      <c r="E939" s="39"/>
      <c r="F939" s="45"/>
      <c r="G939" s="44"/>
      <c r="H939" s="17"/>
      <c r="I939" s="45"/>
      <c r="J939" s="45"/>
      <c r="K939" s="39">
        <f t="shared" si="15"/>
        <v>0</v>
      </c>
      <c r="L939" s="39">
        <f t="shared" si="16"/>
        <v>0</v>
      </c>
      <c r="M939" s="5">
        <f t="shared" si="17"/>
        <v>0</v>
      </c>
    </row>
    <row r="940" ht="15.75" customHeight="1">
      <c r="E940" s="39"/>
      <c r="F940" s="45"/>
      <c r="G940" s="44"/>
      <c r="H940" s="17"/>
      <c r="I940" s="45"/>
      <c r="J940" s="45"/>
      <c r="K940" s="39">
        <f t="shared" si="15"/>
        <v>0</v>
      </c>
      <c r="L940" s="39">
        <f t="shared" si="16"/>
        <v>0</v>
      </c>
      <c r="M940" s="5">
        <f t="shared" si="17"/>
        <v>0</v>
      </c>
    </row>
    <row r="941" ht="15.75" customHeight="1">
      <c r="E941" s="39"/>
      <c r="F941" s="45"/>
      <c r="G941" s="44"/>
      <c r="H941" s="17"/>
      <c r="I941" s="45"/>
      <c r="J941" s="45"/>
      <c r="K941" s="39">
        <f t="shared" si="15"/>
        <v>0</v>
      </c>
      <c r="L941" s="39">
        <f t="shared" si="16"/>
        <v>0</v>
      </c>
      <c r="M941" s="5">
        <f t="shared" si="17"/>
        <v>0</v>
      </c>
    </row>
    <row r="942" ht="15.75" customHeight="1">
      <c r="E942" s="39"/>
      <c r="F942" s="45"/>
      <c r="G942" s="44"/>
      <c r="H942" s="17"/>
      <c r="I942" s="45"/>
      <c r="J942" s="45"/>
      <c r="K942" s="39">
        <f t="shared" si="15"/>
        <v>0</v>
      </c>
      <c r="L942" s="39">
        <f t="shared" si="16"/>
        <v>0</v>
      </c>
      <c r="M942" s="5">
        <f t="shared" si="17"/>
        <v>0</v>
      </c>
    </row>
    <row r="943" ht="15.75" customHeight="1">
      <c r="E943" s="39"/>
      <c r="F943" s="45"/>
      <c r="G943" s="44"/>
      <c r="H943" s="17"/>
      <c r="I943" s="45"/>
      <c r="J943" s="45"/>
      <c r="K943" s="39">
        <f t="shared" si="15"/>
        <v>0</v>
      </c>
      <c r="L943" s="39">
        <f t="shared" si="16"/>
        <v>0</v>
      </c>
      <c r="M943" s="5">
        <f t="shared" si="17"/>
        <v>0</v>
      </c>
    </row>
    <row r="944" ht="15.75" customHeight="1">
      <c r="E944" s="39"/>
      <c r="F944" s="45"/>
      <c r="G944" s="44"/>
      <c r="H944" s="17"/>
      <c r="I944" s="45"/>
      <c r="J944" s="45"/>
      <c r="K944" s="39">
        <f t="shared" si="15"/>
        <v>0</v>
      </c>
      <c r="L944" s="39">
        <f t="shared" si="16"/>
        <v>0</v>
      </c>
      <c r="M944" s="5">
        <f t="shared" si="17"/>
        <v>0</v>
      </c>
    </row>
    <row r="945" ht="15.75" customHeight="1">
      <c r="E945" s="39"/>
      <c r="F945" s="45"/>
      <c r="G945" s="44"/>
      <c r="H945" s="17"/>
      <c r="I945" s="45"/>
      <c r="J945" s="45"/>
      <c r="K945" s="39">
        <f t="shared" si="15"/>
        <v>0</v>
      </c>
      <c r="L945" s="39">
        <f t="shared" si="16"/>
        <v>0</v>
      </c>
      <c r="M945" s="5">
        <f t="shared" si="17"/>
        <v>0</v>
      </c>
    </row>
    <row r="946" ht="15.75" customHeight="1">
      <c r="E946" s="39"/>
      <c r="F946" s="45"/>
      <c r="G946" s="44"/>
      <c r="H946" s="17"/>
      <c r="I946" s="45"/>
      <c r="J946" s="45"/>
      <c r="K946" s="39">
        <f t="shared" si="15"/>
        <v>0</v>
      </c>
      <c r="L946" s="39">
        <f t="shared" si="16"/>
        <v>0</v>
      </c>
      <c r="M946" s="5">
        <f t="shared" si="17"/>
        <v>0</v>
      </c>
    </row>
    <row r="947" ht="15.75" customHeight="1">
      <c r="E947" s="39"/>
      <c r="F947" s="45"/>
      <c r="G947" s="44"/>
      <c r="H947" s="17"/>
      <c r="I947" s="45"/>
      <c r="J947" s="45"/>
      <c r="K947" s="39">
        <f t="shared" si="15"/>
        <v>0</v>
      </c>
      <c r="L947" s="39">
        <f t="shared" si="16"/>
        <v>0</v>
      </c>
      <c r="M947" s="5">
        <f t="shared" si="17"/>
        <v>0</v>
      </c>
    </row>
    <row r="948" ht="15.75" customHeight="1">
      <c r="E948" s="39"/>
      <c r="F948" s="45"/>
      <c r="G948" s="44"/>
      <c r="H948" s="17"/>
      <c r="I948" s="45"/>
      <c r="J948" s="45"/>
      <c r="K948" s="39">
        <f t="shared" si="15"/>
        <v>0</v>
      </c>
      <c r="L948" s="39">
        <f t="shared" si="16"/>
        <v>0</v>
      </c>
      <c r="M948" s="5">
        <f t="shared" si="17"/>
        <v>0</v>
      </c>
    </row>
    <row r="949" ht="15.75" customHeight="1">
      <c r="E949" s="39"/>
      <c r="F949" s="45"/>
      <c r="G949" s="44"/>
      <c r="H949" s="17"/>
      <c r="I949" s="45"/>
      <c r="J949" s="45"/>
      <c r="K949" s="39">
        <f t="shared" si="15"/>
        <v>0</v>
      </c>
      <c r="L949" s="39">
        <f t="shared" si="16"/>
        <v>0</v>
      </c>
      <c r="M949" s="5">
        <f t="shared" si="17"/>
        <v>0</v>
      </c>
    </row>
    <row r="950" ht="15.75" customHeight="1">
      <c r="E950" s="39"/>
      <c r="F950" s="45"/>
      <c r="G950" s="44"/>
      <c r="H950" s="17"/>
      <c r="I950" s="45"/>
      <c r="J950" s="45"/>
      <c r="K950" s="39">
        <f t="shared" si="15"/>
        <v>0</v>
      </c>
      <c r="L950" s="39">
        <f t="shared" si="16"/>
        <v>0</v>
      </c>
      <c r="M950" s="5">
        <f t="shared" si="17"/>
        <v>0</v>
      </c>
    </row>
    <row r="951" ht="15.75" customHeight="1">
      <c r="E951" s="39"/>
      <c r="F951" s="45"/>
      <c r="G951" s="44"/>
      <c r="H951" s="17"/>
      <c r="I951" s="45"/>
      <c r="J951" s="45"/>
      <c r="K951" s="39">
        <f t="shared" si="15"/>
        <v>0</v>
      </c>
      <c r="L951" s="39">
        <f t="shared" si="16"/>
        <v>0</v>
      </c>
      <c r="M951" s="5">
        <f t="shared" si="17"/>
        <v>0</v>
      </c>
    </row>
    <row r="952" ht="15.75" customHeight="1">
      <c r="E952" s="39"/>
      <c r="F952" s="45"/>
      <c r="G952" s="44"/>
      <c r="H952" s="17"/>
      <c r="I952" s="45"/>
      <c r="J952" s="45"/>
      <c r="K952" s="39">
        <f t="shared" si="15"/>
        <v>0</v>
      </c>
      <c r="L952" s="39">
        <f t="shared" si="16"/>
        <v>0</v>
      </c>
      <c r="M952" s="5">
        <f t="shared" si="17"/>
        <v>0</v>
      </c>
    </row>
    <row r="953" ht="15.75" customHeight="1">
      <c r="E953" s="39"/>
      <c r="F953" s="45"/>
      <c r="G953" s="44"/>
      <c r="H953" s="17"/>
      <c r="I953" s="45"/>
      <c r="J953" s="45"/>
      <c r="K953" s="39">
        <f t="shared" si="15"/>
        <v>0</v>
      </c>
      <c r="L953" s="39">
        <f t="shared" si="16"/>
        <v>0</v>
      </c>
      <c r="M953" s="5">
        <f t="shared" si="17"/>
        <v>0</v>
      </c>
    </row>
    <row r="954" ht="15.75" customHeight="1">
      <c r="E954" s="39"/>
      <c r="F954" s="45"/>
      <c r="G954" s="44"/>
      <c r="H954" s="17"/>
      <c r="I954" s="45"/>
      <c r="J954" s="45"/>
      <c r="K954" s="39">
        <f t="shared" si="15"/>
        <v>0</v>
      </c>
      <c r="L954" s="39">
        <f t="shared" si="16"/>
        <v>0</v>
      </c>
      <c r="M954" s="5">
        <f t="shared" si="17"/>
        <v>0</v>
      </c>
    </row>
    <row r="955" ht="15.75" customHeight="1">
      <c r="E955" s="39"/>
      <c r="F955" s="45"/>
      <c r="G955" s="44"/>
      <c r="H955" s="17"/>
      <c r="I955" s="45"/>
      <c r="J955" s="45"/>
      <c r="K955" s="39">
        <f t="shared" si="15"/>
        <v>0</v>
      </c>
      <c r="L955" s="39">
        <f t="shared" si="16"/>
        <v>0</v>
      </c>
      <c r="M955" s="5">
        <f t="shared" si="17"/>
        <v>0</v>
      </c>
    </row>
    <row r="956" ht="15.75" customHeight="1">
      <c r="E956" s="39"/>
      <c r="F956" s="45"/>
      <c r="G956" s="44"/>
      <c r="H956" s="17"/>
      <c r="I956" s="45"/>
      <c r="J956" s="45"/>
      <c r="K956" s="39">
        <f t="shared" si="15"/>
        <v>0</v>
      </c>
      <c r="L956" s="39">
        <f t="shared" si="16"/>
        <v>0</v>
      </c>
      <c r="M956" s="5">
        <f t="shared" si="17"/>
        <v>0</v>
      </c>
    </row>
    <row r="957" ht="15.75" customHeight="1">
      <c r="E957" s="39"/>
      <c r="F957" s="45"/>
      <c r="G957" s="44"/>
      <c r="H957" s="17"/>
      <c r="I957" s="45"/>
      <c r="J957" s="45"/>
      <c r="K957" s="39">
        <f t="shared" si="15"/>
        <v>0</v>
      </c>
      <c r="L957" s="39">
        <f t="shared" si="16"/>
        <v>0</v>
      </c>
      <c r="M957" s="5">
        <f t="shared" si="17"/>
        <v>0</v>
      </c>
    </row>
    <row r="958" ht="15.75" customHeight="1">
      <c r="E958" s="39"/>
      <c r="F958" s="45"/>
      <c r="G958" s="44"/>
      <c r="H958" s="17"/>
      <c r="I958" s="45"/>
      <c r="J958" s="45"/>
      <c r="K958" s="39">
        <f t="shared" si="15"/>
        <v>0</v>
      </c>
      <c r="L958" s="39">
        <f t="shared" si="16"/>
        <v>0</v>
      </c>
      <c r="M958" s="5">
        <f t="shared" si="17"/>
        <v>0</v>
      </c>
    </row>
    <row r="959" ht="15.75" customHeight="1">
      <c r="E959" s="39"/>
      <c r="F959" s="45"/>
      <c r="G959" s="44"/>
      <c r="H959" s="17"/>
      <c r="I959" s="45"/>
      <c r="J959" s="45"/>
      <c r="K959" s="39">
        <f t="shared" si="15"/>
        <v>0</v>
      </c>
      <c r="L959" s="39">
        <f t="shared" si="16"/>
        <v>0</v>
      </c>
      <c r="M959" s="5">
        <f t="shared" si="17"/>
        <v>0</v>
      </c>
    </row>
    <row r="960" ht="15.75" customHeight="1">
      <c r="E960" s="39"/>
      <c r="F960" s="45"/>
      <c r="G960" s="44"/>
      <c r="H960" s="17"/>
      <c r="I960" s="45"/>
      <c r="J960" s="45"/>
      <c r="K960" s="39">
        <f t="shared" si="15"/>
        <v>0</v>
      </c>
      <c r="L960" s="39">
        <f t="shared" si="16"/>
        <v>0</v>
      </c>
      <c r="M960" s="5">
        <f t="shared" si="17"/>
        <v>0</v>
      </c>
    </row>
    <row r="961" ht="15.75" customHeight="1">
      <c r="E961" s="39"/>
      <c r="F961" s="45"/>
      <c r="G961" s="44"/>
      <c r="H961" s="17"/>
      <c r="I961" s="45"/>
      <c r="J961" s="45"/>
      <c r="K961" s="39">
        <f t="shared" si="15"/>
        <v>0</v>
      </c>
      <c r="L961" s="39">
        <f t="shared" si="16"/>
        <v>0</v>
      </c>
      <c r="M961" s="5">
        <f t="shared" si="17"/>
        <v>0</v>
      </c>
    </row>
    <row r="962" ht="15.75" customHeight="1">
      <c r="E962" s="39"/>
      <c r="F962" s="45"/>
      <c r="G962" s="44"/>
      <c r="H962" s="17"/>
      <c r="I962" s="45"/>
      <c r="J962" s="45"/>
      <c r="K962" s="39">
        <f t="shared" si="15"/>
        <v>0</v>
      </c>
      <c r="L962" s="39">
        <f t="shared" si="16"/>
        <v>0</v>
      </c>
      <c r="M962" s="5">
        <f t="shared" si="17"/>
        <v>0</v>
      </c>
    </row>
    <row r="963" ht="15.75" customHeight="1">
      <c r="E963" s="39"/>
      <c r="F963" s="45"/>
      <c r="G963" s="44"/>
      <c r="H963" s="17"/>
      <c r="I963" s="45"/>
      <c r="J963" s="45"/>
      <c r="K963" s="39">
        <f t="shared" si="15"/>
        <v>0</v>
      </c>
      <c r="L963" s="39">
        <f t="shared" si="16"/>
        <v>0</v>
      </c>
      <c r="M963" s="5">
        <f t="shared" si="17"/>
        <v>0</v>
      </c>
    </row>
    <row r="964" ht="15.75" customHeight="1">
      <c r="E964" s="39"/>
      <c r="F964" s="45"/>
      <c r="G964" s="44"/>
      <c r="H964" s="17"/>
      <c r="I964" s="45"/>
      <c r="J964" s="45"/>
      <c r="K964" s="39">
        <f t="shared" si="15"/>
        <v>0</v>
      </c>
      <c r="L964" s="39">
        <f t="shared" si="16"/>
        <v>0</v>
      </c>
      <c r="M964" s="5">
        <f t="shared" si="17"/>
        <v>0</v>
      </c>
    </row>
    <row r="965" ht="15.75" customHeight="1">
      <c r="E965" s="39"/>
      <c r="F965" s="45"/>
      <c r="G965" s="44"/>
      <c r="H965" s="17"/>
      <c r="I965" s="45"/>
      <c r="J965" s="45"/>
      <c r="K965" s="39">
        <f t="shared" si="15"/>
        <v>0</v>
      </c>
      <c r="L965" s="39">
        <f t="shared" si="16"/>
        <v>0</v>
      </c>
      <c r="M965" s="5">
        <f t="shared" si="17"/>
        <v>0</v>
      </c>
    </row>
    <row r="966" ht="15.75" customHeight="1">
      <c r="E966" s="39"/>
      <c r="F966" s="45"/>
      <c r="G966" s="44"/>
      <c r="H966" s="17"/>
      <c r="I966" s="45"/>
      <c r="J966" s="45"/>
      <c r="K966" s="39">
        <f t="shared" si="15"/>
        <v>0</v>
      </c>
      <c r="L966" s="39">
        <f t="shared" si="16"/>
        <v>0</v>
      </c>
      <c r="M966" s="5">
        <f t="shared" si="17"/>
        <v>0</v>
      </c>
    </row>
    <row r="967" ht="15.75" customHeight="1">
      <c r="E967" s="39"/>
      <c r="F967" s="45"/>
      <c r="G967" s="44"/>
      <c r="H967" s="17"/>
      <c r="I967" s="45"/>
      <c r="J967" s="45"/>
      <c r="K967" s="39">
        <f t="shared" si="15"/>
        <v>0</v>
      </c>
      <c r="L967" s="39">
        <f t="shared" si="16"/>
        <v>0</v>
      </c>
      <c r="M967" s="5">
        <f t="shared" si="17"/>
        <v>0</v>
      </c>
    </row>
    <row r="968" ht="15.75" customHeight="1">
      <c r="E968" s="39"/>
      <c r="F968" s="45"/>
      <c r="G968" s="44"/>
      <c r="H968" s="17"/>
      <c r="I968" s="45"/>
      <c r="J968" s="45"/>
      <c r="K968" s="39">
        <f t="shared" si="15"/>
        <v>0</v>
      </c>
      <c r="L968" s="39">
        <f t="shared" si="16"/>
        <v>0</v>
      </c>
      <c r="M968" s="5">
        <f t="shared" si="17"/>
        <v>0</v>
      </c>
    </row>
    <row r="969" ht="15.75" customHeight="1">
      <c r="E969" s="39"/>
      <c r="F969" s="45"/>
      <c r="G969" s="44"/>
      <c r="H969" s="17"/>
      <c r="I969" s="45"/>
      <c r="J969" s="45"/>
      <c r="K969" s="39">
        <f t="shared" si="15"/>
        <v>0</v>
      </c>
      <c r="L969" s="39">
        <f t="shared" si="16"/>
        <v>0</v>
      </c>
      <c r="M969" s="5">
        <f t="shared" si="17"/>
        <v>0</v>
      </c>
    </row>
    <row r="970" ht="15.75" customHeight="1">
      <c r="E970" s="39"/>
      <c r="F970" s="45"/>
      <c r="G970" s="44"/>
      <c r="H970" s="17"/>
      <c r="I970" s="45"/>
      <c r="J970" s="45"/>
      <c r="K970" s="39">
        <f t="shared" si="15"/>
        <v>0</v>
      </c>
      <c r="L970" s="39">
        <f t="shared" si="16"/>
        <v>0</v>
      </c>
      <c r="M970" s="5">
        <f t="shared" si="17"/>
        <v>0</v>
      </c>
    </row>
    <row r="971" ht="15.75" customHeight="1">
      <c r="E971" s="39"/>
      <c r="F971" s="45"/>
      <c r="G971" s="44"/>
      <c r="H971" s="17"/>
      <c r="I971" s="45"/>
      <c r="J971" s="45"/>
      <c r="K971" s="39">
        <f t="shared" si="15"/>
        <v>0</v>
      </c>
      <c r="L971" s="39">
        <f t="shared" si="16"/>
        <v>0</v>
      </c>
      <c r="M971" s="5">
        <f t="shared" si="17"/>
        <v>0</v>
      </c>
    </row>
    <row r="972" ht="15.75" customHeight="1">
      <c r="E972" s="39"/>
      <c r="F972" s="45"/>
      <c r="G972" s="44"/>
      <c r="H972" s="17"/>
      <c r="I972" s="45"/>
      <c r="J972" s="45"/>
      <c r="K972" s="39">
        <f t="shared" si="15"/>
        <v>0</v>
      </c>
      <c r="L972" s="39">
        <f t="shared" si="16"/>
        <v>0</v>
      </c>
      <c r="M972" s="5">
        <f t="shared" si="17"/>
        <v>0</v>
      </c>
    </row>
    <row r="973" ht="15.75" customHeight="1">
      <c r="E973" s="39"/>
      <c r="F973" s="45"/>
      <c r="G973" s="44"/>
      <c r="H973" s="17"/>
      <c r="I973" s="45"/>
      <c r="J973" s="45"/>
      <c r="K973" s="39">
        <f t="shared" si="15"/>
        <v>0</v>
      </c>
      <c r="L973" s="39">
        <f t="shared" si="16"/>
        <v>0</v>
      </c>
      <c r="M973" s="5">
        <f t="shared" si="17"/>
        <v>0</v>
      </c>
    </row>
    <row r="974" ht="15.75" customHeight="1">
      <c r="E974" s="39"/>
      <c r="F974" s="45"/>
      <c r="G974" s="44"/>
      <c r="H974" s="17"/>
      <c r="I974" s="45"/>
      <c r="J974" s="45"/>
      <c r="K974" s="39">
        <f t="shared" si="15"/>
        <v>0</v>
      </c>
      <c r="L974" s="39">
        <f t="shared" si="16"/>
        <v>0</v>
      </c>
      <c r="M974" s="5">
        <f t="shared" si="17"/>
        <v>0</v>
      </c>
    </row>
    <row r="975" ht="15.75" customHeight="1">
      <c r="E975" s="39"/>
      <c r="F975" s="45"/>
      <c r="G975" s="44"/>
      <c r="H975" s="17"/>
      <c r="I975" s="45"/>
      <c r="J975" s="45"/>
      <c r="K975" s="39">
        <f t="shared" si="15"/>
        <v>0</v>
      </c>
      <c r="L975" s="39">
        <f t="shared" si="16"/>
        <v>0</v>
      </c>
      <c r="M975" s="5">
        <f t="shared" si="17"/>
        <v>0</v>
      </c>
    </row>
    <row r="976" ht="15.75" customHeight="1">
      <c r="E976" s="39"/>
      <c r="F976" s="45"/>
      <c r="G976" s="44"/>
      <c r="H976" s="17"/>
      <c r="I976" s="45"/>
      <c r="J976" s="45"/>
      <c r="K976" s="39">
        <f t="shared" si="15"/>
        <v>0</v>
      </c>
      <c r="L976" s="39">
        <f t="shared" si="16"/>
        <v>0</v>
      </c>
      <c r="M976" s="5">
        <f t="shared" si="17"/>
        <v>0</v>
      </c>
    </row>
    <row r="977" ht="15.75" customHeight="1">
      <c r="E977" s="39"/>
      <c r="F977" s="45"/>
      <c r="G977" s="44"/>
      <c r="H977" s="17"/>
      <c r="I977" s="45"/>
      <c r="J977" s="45"/>
      <c r="K977" s="39">
        <f t="shared" si="15"/>
        <v>0</v>
      </c>
      <c r="L977" s="39">
        <f t="shared" si="16"/>
        <v>0</v>
      </c>
      <c r="M977" s="5">
        <f t="shared" si="17"/>
        <v>0</v>
      </c>
    </row>
    <row r="978" ht="15.75" customHeight="1">
      <c r="E978" s="39"/>
      <c r="F978" s="45"/>
      <c r="G978" s="44"/>
      <c r="H978" s="17"/>
      <c r="I978" s="45"/>
      <c r="J978" s="45"/>
      <c r="K978" s="39">
        <f t="shared" si="15"/>
        <v>0</v>
      </c>
      <c r="L978" s="39">
        <f t="shared" si="16"/>
        <v>0</v>
      </c>
      <c r="M978" s="5">
        <f t="shared" si="17"/>
        <v>0</v>
      </c>
    </row>
    <row r="979" ht="15.75" customHeight="1">
      <c r="E979" s="39"/>
      <c r="F979" s="45"/>
      <c r="G979" s="44"/>
      <c r="H979" s="17"/>
      <c r="I979" s="45"/>
      <c r="J979" s="45"/>
      <c r="K979" s="39">
        <f t="shared" si="15"/>
        <v>0</v>
      </c>
      <c r="L979" s="39">
        <f t="shared" si="16"/>
        <v>0</v>
      </c>
      <c r="M979" s="5">
        <f t="shared" si="17"/>
        <v>0</v>
      </c>
    </row>
    <row r="980" ht="15.75" customHeight="1">
      <c r="E980" s="39"/>
      <c r="F980" s="45"/>
      <c r="G980" s="44"/>
      <c r="H980" s="17"/>
      <c r="I980" s="45"/>
      <c r="J980" s="45"/>
      <c r="K980" s="39">
        <f t="shared" si="15"/>
        <v>0</v>
      </c>
      <c r="L980" s="39">
        <f t="shared" si="16"/>
        <v>0</v>
      </c>
      <c r="M980" s="5">
        <f t="shared" si="17"/>
        <v>0</v>
      </c>
    </row>
    <row r="981" ht="15.75" customHeight="1">
      <c r="E981" s="39"/>
      <c r="F981" s="45"/>
      <c r="G981" s="44"/>
      <c r="H981" s="17"/>
      <c r="I981" s="45"/>
      <c r="J981" s="45"/>
      <c r="K981" s="39">
        <f t="shared" si="15"/>
        <v>0</v>
      </c>
      <c r="L981" s="39">
        <f t="shared" si="16"/>
        <v>0</v>
      </c>
      <c r="M981" s="5">
        <f t="shared" si="17"/>
        <v>0</v>
      </c>
    </row>
    <row r="982" ht="15.75" customHeight="1">
      <c r="E982" s="39"/>
      <c r="F982" s="45"/>
      <c r="G982" s="44"/>
      <c r="H982" s="17"/>
      <c r="I982" s="45"/>
      <c r="J982" s="45"/>
      <c r="K982" s="39">
        <f t="shared" si="15"/>
        <v>0</v>
      </c>
      <c r="L982" s="39">
        <f t="shared" si="16"/>
        <v>0</v>
      </c>
      <c r="M982" s="5">
        <f t="shared" si="17"/>
        <v>0</v>
      </c>
    </row>
    <row r="983" ht="15.75" customHeight="1">
      <c r="E983" s="39"/>
      <c r="F983" s="45"/>
      <c r="G983" s="44"/>
      <c r="H983" s="17"/>
      <c r="I983" s="45"/>
      <c r="J983" s="45"/>
      <c r="K983" s="39">
        <f t="shared" si="15"/>
        <v>0</v>
      </c>
      <c r="L983" s="39">
        <f t="shared" si="16"/>
        <v>0</v>
      </c>
      <c r="M983" s="5">
        <f t="shared" si="17"/>
        <v>0</v>
      </c>
    </row>
    <row r="984" ht="15.75" customHeight="1">
      <c r="E984" s="39"/>
      <c r="F984" s="45"/>
      <c r="G984" s="44"/>
      <c r="H984" s="17"/>
      <c r="I984" s="45"/>
      <c r="J984" s="45"/>
      <c r="K984" s="39">
        <f t="shared" si="15"/>
        <v>0</v>
      </c>
      <c r="L984" s="39">
        <f t="shared" si="16"/>
        <v>0</v>
      </c>
      <c r="M984" s="5">
        <f t="shared" si="17"/>
        <v>0</v>
      </c>
    </row>
    <row r="985" ht="15.75" customHeight="1">
      <c r="E985" s="39"/>
      <c r="F985" s="45"/>
      <c r="G985" s="44"/>
      <c r="H985" s="17"/>
      <c r="I985" s="45"/>
      <c r="J985" s="45"/>
      <c r="K985" s="39">
        <f t="shared" si="15"/>
        <v>0</v>
      </c>
      <c r="L985" s="39">
        <f t="shared" si="16"/>
        <v>0</v>
      </c>
      <c r="M985" s="5">
        <f t="shared" si="17"/>
        <v>0</v>
      </c>
    </row>
    <row r="986" ht="15.75" customHeight="1">
      <c r="E986" s="39"/>
      <c r="F986" s="45"/>
      <c r="G986" s="44"/>
      <c r="H986" s="17"/>
      <c r="I986" s="45"/>
      <c r="J986" s="45"/>
      <c r="K986" s="39">
        <f t="shared" si="15"/>
        <v>0</v>
      </c>
      <c r="L986" s="39">
        <f t="shared" si="16"/>
        <v>0</v>
      </c>
      <c r="M986" s="5">
        <f t="shared" si="17"/>
        <v>0</v>
      </c>
    </row>
    <row r="987" ht="15.75" customHeight="1">
      <c r="E987" s="39"/>
      <c r="F987" s="45"/>
      <c r="G987" s="44"/>
      <c r="H987" s="17"/>
      <c r="I987" s="45"/>
      <c r="J987" s="45"/>
      <c r="K987" s="39">
        <f t="shared" si="15"/>
        <v>0</v>
      </c>
      <c r="L987" s="39">
        <f t="shared" si="16"/>
        <v>0</v>
      </c>
      <c r="M987" s="5">
        <f t="shared" si="17"/>
        <v>0</v>
      </c>
    </row>
    <row r="988" ht="15.75" customHeight="1">
      <c r="E988" s="39"/>
      <c r="F988" s="45"/>
      <c r="G988" s="44"/>
      <c r="H988" s="17"/>
      <c r="I988" s="45"/>
      <c r="J988" s="45"/>
      <c r="K988" s="39">
        <f t="shared" si="15"/>
        <v>0</v>
      </c>
      <c r="L988" s="39">
        <f t="shared" si="16"/>
        <v>0</v>
      </c>
      <c r="M988" s="5">
        <f t="shared" si="17"/>
        <v>0</v>
      </c>
    </row>
    <row r="989" ht="15.75" customHeight="1">
      <c r="E989" s="39"/>
      <c r="F989" s="45"/>
      <c r="G989" s="44"/>
      <c r="H989" s="17"/>
      <c r="I989" s="45"/>
      <c r="J989" s="45"/>
      <c r="K989" s="39">
        <f t="shared" si="15"/>
        <v>0</v>
      </c>
      <c r="L989" s="39">
        <f t="shared" si="16"/>
        <v>0</v>
      </c>
      <c r="M989" s="5">
        <f t="shared" si="17"/>
        <v>0</v>
      </c>
    </row>
    <row r="990" ht="15.75" customHeight="1">
      <c r="E990" s="39"/>
      <c r="F990" s="45"/>
      <c r="G990" s="44"/>
      <c r="H990" s="17"/>
      <c r="I990" s="45"/>
      <c r="J990" s="45"/>
      <c r="K990" s="39">
        <f t="shared" si="15"/>
        <v>0</v>
      </c>
      <c r="L990" s="39">
        <f t="shared" si="16"/>
        <v>0</v>
      </c>
      <c r="M990" s="5">
        <f t="shared" si="17"/>
        <v>0</v>
      </c>
    </row>
    <row r="991" ht="15.75" customHeight="1">
      <c r="E991" s="39"/>
      <c r="F991" s="45"/>
      <c r="G991" s="44"/>
      <c r="H991" s="17"/>
      <c r="I991" s="45"/>
      <c r="J991" s="45"/>
      <c r="K991" s="39">
        <f t="shared" si="15"/>
        <v>0</v>
      </c>
      <c r="L991" s="39">
        <f t="shared" si="16"/>
        <v>0</v>
      </c>
      <c r="M991" s="5">
        <f t="shared" si="17"/>
        <v>0</v>
      </c>
    </row>
    <row r="992" ht="15.75" customHeight="1">
      <c r="E992" s="39"/>
      <c r="F992" s="45"/>
      <c r="G992" s="44"/>
      <c r="H992" s="17"/>
      <c r="I992" s="45"/>
      <c r="J992" s="45"/>
      <c r="K992" s="39">
        <f t="shared" si="15"/>
        <v>0</v>
      </c>
      <c r="L992" s="39">
        <f t="shared" si="16"/>
        <v>0</v>
      </c>
      <c r="M992" s="5">
        <f t="shared" si="17"/>
        <v>0</v>
      </c>
    </row>
    <row r="993" ht="15.75" customHeight="1">
      <c r="E993" s="39"/>
      <c r="F993" s="45"/>
      <c r="G993" s="44"/>
      <c r="H993" s="17"/>
      <c r="I993" s="45"/>
      <c r="J993" s="45"/>
      <c r="K993" s="39">
        <f t="shared" si="15"/>
        <v>0</v>
      </c>
      <c r="L993" s="39">
        <f t="shared" si="16"/>
        <v>0</v>
      </c>
      <c r="M993" s="5">
        <f t="shared" si="17"/>
        <v>0</v>
      </c>
    </row>
    <row r="994" ht="15.75" customHeight="1">
      <c r="E994" s="39"/>
      <c r="F994" s="45"/>
      <c r="G994" s="44"/>
      <c r="H994" s="17"/>
      <c r="I994" s="45"/>
      <c r="J994" s="45"/>
      <c r="K994" s="39">
        <f t="shared" si="15"/>
        <v>0</v>
      </c>
      <c r="L994" s="39">
        <f t="shared" si="16"/>
        <v>0</v>
      </c>
      <c r="M994" s="5">
        <f t="shared" si="17"/>
        <v>0</v>
      </c>
    </row>
    <row r="995" ht="15.75" customHeight="1">
      <c r="E995" s="39"/>
      <c r="F995" s="45"/>
      <c r="G995" s="44"/>
      <c r="H995" s="17"/>
      <c r="I995" s="45"/>
      <c r="J995" s="45"/>
      <c r="K995" s="39">
        <f t="shared" si="15"/>
        <v>0</v>
      </c>
      <c r="L995" s="39">
        <f t="shared" si="16"/>
        <v>0</v>
      </c>
      <c r="M995" s="5">
        <f t="shared" si="17"/>
        <v>0</v>
      </c>
    </row>
    <row r="996" ht="15.75" customHeight="1">
      <c r="E996" s="39"/>
      <c r="F996" s="45"/>
      <c r="G996" s="44"/>
      <c r="H996" s="17"/>
      <c r="I996" s="45"/>
      <c r="J996" s="45"/>
      <c r="K996" s="39">
        <f t="shared" si="15"/>
        <v>0</v>
      </c>
      <c r="L996" s="39">
        <f t="shared" si="16"/>
        <v>0</v>
      </c>
      <c r="M996" s="5">
        <f t="shared" si="17"/>
        <v>0</v>
      </c>
    </row>
    <row r="997" ht="15.75" customHeight="1">
      <c r="E997" s="39"/>
      <c r="F997" s="45"/>
      <c r="G997" s="44"/>
      <c r="H997" s="17"/>
      <c r="I997" s="45"/>
      <c r="J997" s="45"/>
      <c r="K997" s="39">
        <f t="shared" si="15"/>
        <v>0</v>
      </c>
      <c r="L997" s="39">
        <f t="shared" si="16"/>
        <v>0</v>
      </c>
      <c r="M997" s="5">
        <f t="shared" si="17"/>
        <v>0</v>
      </c>
    </row>
    <row r="998" ht="15.75" customHeight="1">
      <c r="E998" s="39"/>
      <c r="F998" s="45"/>
      <c r="G998" s="44"/>
      <c r="H998" s="17"/>
      <c r="I998" s="45"/>
      <c r="J998" s="45"/>
      <c r="K998" s="39">
        <f t="shared" si="15"/>
        <v>0</v>
      </c>
      <c r="L998" s="39">
        <f t="shared" si="16"/>
        <v>0</v>
      </c>
      <c r="M998" s="5">
        <f t="shared" si="17"/>
        <v>0</v>
      </c>
    </row>
  </sheetData>
  <conditionalFormatting sqref="N1:N321 M322:M998">
    <cfRule type="cellIs" dxfId="0" priority="1" operator="lessThan">
      <formula>0</formula>
    </cfRule>
  </conditionalFormatting>
  <conditionalFormatting sqref="N1:N321 M322:M998">
    <cfRule type="cellIs" dxfId="1" priority="2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" t="s">
        <v>59</v>
      </c>
      <c r="B1" s="42" t="s">
        <v>60</v>
      </c>
      <c r="C1" s="15" t="s">
        <v>61</v>
      </c>
    </row>
    <row r="2">
      <c r="A2" s="28" t="s">
        <v>35</v>
      </c>
      <c r="B2" s="43">
        <f>IFERROR(__xludf.DUMMYFUNCTION("IFERROR(GOOGLEFINANCE(""BCBA:"" &amp; A2, ""price""), GOOGLEFINANCE(B2, ""price""))"),8575.0)</f>
        <v>8575</v>
      </c>
      <c r="C2" s="15">
        <v>44.0</v>
      </c>
    </row>
    <row r="3">
      <c r="A3" s="28" t="s">
        <v>39</v>
      </c>
      <c r="B3" s="43">
        <f>IFERROR(__xludf.DUMMYFUNCTION("IFERROR(GOOGLEFINANCE(""BCBA:"" &amp; A3, ""price""), GOOGLEFINANCE(B3, ""price""))"),10690.0)</f>
        <v>10690</v>
      </c>
      <c r="C3" s="15">
        <v>10.0</v>
      </c>
    </row>
    <row r="4">
      <c r="A4" s="28" t="s">
        <v>42</v>
      </c>
      <c r="B4" s="43">
        <f>IFERROR(__xludf.DUMMYFUNCTION("IFERROR(GOOGLEFINANCE(""BCBA:"" &amp; A4, ""price""), GOOGLEFINANCE(B4, ""price""))"),7655.0)</f>
        <v>7655</v>
      </c>
      <c r="C4" s="15">
        <v>10.0</v>
      </c>
    </row>
    <row r="5">
      <c r="A5" s="28" t="s">
        <v>40</v>
      </c>
      <c r="B5" s="43">
        <f>IFERROR(__xludf.DUMMYFUNCTION("IFERROR(GOOGLEFINANCE(""BCBA:"" &amp; A5, ""price""), GOOGLEFINANCE(B5, ""price""))"),23260.0)</f>
        <v>23260</v>
      </c>
      <c r="C5" s="15">
        <v>120.0</v>
      </c>
    </row>
    <row r="6">
      <c r="A6" s="28" t="s">
        <v>48</v>
      </c>
      <c r="B6" s="43">
        <f>IFERROR(__xludf.DUMMYFUNCTION("IFERROR(GOOGLEFINANCE(""BCBA:"" &amp; A6, ""price""), GOOGLEFINANCE(B6, ""price""))"),49700.0)</f>
        <v>49700</v>
      </c>
      <c r="C6" s="15">
        <v>24.0</v>
      </c>
    </row>
    <row r="7">
      <c r="A7" s="28" t="s">
        <v>49</v>
      </c>
      <c r="B7" s="43">
        <f>IFERROR(__xludf.DUMMYFUNCTION("IFERROR(GOOGLEFINANCE(""BCBA:"" &amp; A7, ""price""), GOOGLEFINANCE(B7, ""price""))"),27260.0)</f>
        <v>27260</v>
      </c>
      <c r="C7" s="15">
        <v>30.0</v>
      </c>
    </row>
    <row r="8">
      <c r="A8" s="28" t="s">
        <v>54</v>
      </c>
      <c r="B8" s="43">
        <f>IFERROR(__xludf.DUMMYFUNCTION("IFERROR(GOOGLEFINANCE(""BCBA:"" &amp; A8, ""price""), GOOGLEFINANCE(B8, ""price""))"),344500.0)</f>
        <v>344500</v>
      </c>
      <c r="C8" s="15">
        <v>10.0</v>
      </c>
    </row>
    <row r="9">
      <c r="A9" s="28" t="s">
        <v>51</v>
      </c>
      <c r="B9" s="43">
        <f>IFERROR(__xludf.DUMMYFUNCTION("IFERROR(GOOGLEFINANCE(""BCBA:"" &amp; A9, ""price""), GOOGLEFINANCE(B9, ""price""))"),10010.0)</f>
        <v>10010</v>
      </c>
      <c r="C9" s="15">
        <v>3.0</v>
      </c>
    </row>
    <row r="10">
      <c r="A10" s="28" t="s">
        <v>43</v>
      </c>
      <c r="B10" s="43">
        <f>IFERROR(__xludf.DUMMYFUNCTION("IFERROR(GOOGLEFINANCE(""BCBA:"" &amp; A10, ""price""), GOOGLEFINANCE(B10, ""price""))"),15260.0)</f>
        <v>15260</v>
      </c>
      <c r="C10" s="15">
        <v>24.0</v>
      </c>
    </row>
    <row r="11">
      <c r="A11" s="28" t="s">
        <v>44</v>
      </c>
      <c r="B11" s="43">
        <f>IFERROR(__xludf.DUMMYFUNCTION("IFERROR(GOOGLEFINANCE(""BCBA:"" &amp; A11, ""price""), GOOGLEFINANCE(B11, ""price""))"),4965.0)</f>
        <v>4965</v>
      </c>
      <c r="C11" s="15">
        <v>1.0</v>
      </c>
    </row>
    <row r="12">
      <c r="A12" s="28" t="s">
        <v>45</v>
      </c>
      <c r="B12" s="43">
        <f>IFERROR(__xludf.DUMMYFUNCTION("IFERROR(GOOGLEFINANCE(""BCBA:"" &amp; A12, ""price""), GOOGLEFINANCE(B12, ""price""))"),12320.0)</f>
        <v>12320</v>
      </c>
      <c r="C12" s="15">
        <v>30.0</v>
      </c>
    </row>
    <row r="13">
      <c r="A13" s="28" t="s">
        <v>55</v>
      </c>
      <c r="B13" s="43">
        <f>IFERROR(__xludf.DUMMYFUNCTION("IFERROR(GOOGLEFINANCE(""BCBA:"" &amp; A13, ""price""), GOOGLEFINANCE(B13, ""price""))"),20600.0)</f>
        <v>20600</v>
      </c>
      <c r="C13" s="15">
        <v>20.0</v>
      </c>
    </row>
    <row r="14">
      <c r="A14" s="28" t="s">
        <v>52</v>
      </c>
      <c r="B14" s="43">
        <f>IFERROR(__xludf.DUMMYFUNCTION("IFERROR(GOOGLEFINANCE(""BCBA:"" &amp; A14, ""price""), GOOGLEFINANCE(B14, ""price""))"),36000.0)</f>
        <v>36000</v>
      </c>
      <c r="C14" s="15">
        <v>10.0</v>
      </c>
    </row>
    <row r="15">
      <c r="A15" s="15" t="s">
        <v>63</v>
      </c>
      <c r="B15" s="43">
        <f>IFERROR(__xludf.DUMMYFUNCTION("IFERROR(GOOGLEFINANCE(""BCBA:"" &amp; A15, ""price""), GOOGLEFINANCE(B15, ""price""))"),3790.0)</f>
        <v>3790</v>
      </c>
      <c r="C15" s="15">
        <v>30.0</v>
      </c>
    </row>
    <row r="16">
      <c r="A16" s="15" t="s">
        <v>65</v>
      </c>
      <c r="B16" s="43">
        <f>IFERROR(__xludf.DUMMYFUNCTION("IFERROR(GOOGLEFINANCE(""BCBA:"" &amp; A16, ""price""), GOOGLEFINANCE(B16, ""price""))"),15770.0)</f>
        <v>15770</v>
      </c>
      <c r="C16" s="15">
        <v>24.0</v>
      </c>
    </row>
    <row r="17">
      <c r="B17" s="44"/>
    </row>
    <row r="18">
      <c r="B18" s="44"/>
    </row>
    <row r="19">
      <c r="B19" s="44"/>
    </row>
    <row r="20">
      <c r="B20" s="44"/>
    </row>
    <row r="21">
      <c r="B21" s="44"/>
    </row>
    <row r="22">
      <c r="B22" s="44"/>
    </row>
    <row r="23">
      <c r="B23" s="44"/>
    </row>
    <row r="24">
      <c r="B24" s="44"/>
    </row>
    <row r="25">
      <c r="B25" s="44"/>
    </row>
    <row r="26">
      <c r="B26" s="44"/>
    </row>
    <row r="27">
      <c r="B27" s="44"/>
    </row>
    <row r="28">
      <c r="B28" s="44"/>
    </row>
    <row r="29">
      <c r="B29" s="44"/>
    </row>
    <row r="30">
      <c r="B30" s="44"/>
    </row>
    <row r="31">
      <c r="B31" s="44"/>
    </row>
    <row r="32">
      <c r="B32" s="44"/>
    </row>
    <row r="33">
      <c r="B33" s="44"/>
    </row>
    <row r="34">
      <c r="B34" s="44"/>
    </row>
    <row r="35">
      <c r="B35" s="44"/>
    </row>
    <row r="36">
      <c r="B36" s="44"/>
    </row>
    <row r="37">
      <c r="B37" s="44"/>
    </row>
    <row r="38">
      <c r="B38" s="44"/>
    </row>
    <row r="39">
      <c r="B39" s="44"/>
    </row>
    <row r="40">
      <c r="B40" s="44"/>
    </row>
    <row r="41">
      <c r="B41" s="44"/>
    </row>
    <row r="42">
      <c r="B42" s="44"/>
    </row>
    <row r="43">
      <c r="B43" s="44"/>
    </row>
    <row r="44">
      <c r="B44" s="44"/>
    </row>
    <row r="45">
      <c r="B45" s="44"/>
    </row>
    <row r="46">
      <c r="B46" s="44"/>
    </row>
    <row r="47">
      <c r="B47" s="44"/>
    </row>
    <row r="48">
      <c r="B48" s="44"/>
    </row>
    <row r="49">
      <c r="B49" s="44"/>
    </row>
    <row r="50">
      <c r="B50" s="44"/>
    </row>
    <row r="51">
      <c r="B51" s="44"/>
    </row>
    <row r="52">
      <c r="B52" s="44"/>
    </row>
    <row r="53">
      <c r="B53" s="44"/>
    </row>
    <row r="54">
      <c r="B54" s="44"/>
    </row>
    <row r="55">
      <c r="B55" s="44"/>
    </row>
    <row r="56">
      <c r="B56" s="44"/>
    </row>
    <row r="57">
      <c r="B57" s="44"/>
    </row>
    <row r="58">
      <c r="B58" s="44"/>
    </row>
    <row r="59">
      <c r="B59" s="44"/>
    </row>
    <row r="60">
      <c r="B60" s="44"/>
    </row>
    <row r="61">
      <c r="B61" s="44"/>
    </row>
    <row r="62">
      <c r="B62" s="44"/>
    </row>
    <row r="63">
      <c r="B63" s="44"/>
    </row>
    <row r="64">
      <c r="B64" s="44"/>
    </row>
    <row r="65">
      <c r="B65" s="44"/>
    </row>
    <row r="66">
      <c r="B66" s="44"/>
    </row>
    <row r="67">
      <c r="B67" s="44"/>
    </row>
    <row r="68">
      <c r="B68" s="44"/>
    </row>
    <row r="69">
      <c r="B69" s="44"/>
    </row>
    <row r="70">
      <c r="B70" s="44"/>
    </row>
    <row r="71">
      <c r="B71" s="44"/>
    </row>
    <row r="72">
      <c r="B72" s="44"/>
    </row>
    <row r="73">
      <c r="B73" s="44"/>
    </row>
    <row r="74">
      <c r="B74" s="44"/>
    </row>
    <row r="75">
      <c r="B75" s="44"/>
    </row>
    <row r="76">
      <c r="B76" s="44"/>
    </row>
    <row r="77">
      <c r="B77" s="44"/>
    </row>
    <row r="78">
      <c r="B78" s="44"/>
    </row>
    <row r="79">
      <c r="B79" s="44"/>
    </row>
    <row r="80">
      <c r="B80" s="44"/>
    </row>
    <row r="81">
      <c r="B81" s="44"/>
    </row>
    <row r="82">
      <c r="B82" s="44"/>
    </row>
    <row r="83">
      <c r="B83" s="44"/>
    </row>
    <row r="84">
      <c r="B84" s="44"/>
    </row>
    <row r="85">
      <c r="B85" s="44"/>
    </row>
    <row r="86">
      <c r="B86" s="44"/>
    </row>
    <row r="87">
      <c r="B87" s="44"/>
    </row>
    <row r="88">
      <c r="B88" s="44"/>
    </row>
    <row r="89">
      <c r="B89" s="44"/>
    </row>
    <row r="90">
      <c r="B90" s="44"/>
    </row>
    <row r="91">
      <c r="B91" s="44"/>
    </row>
    <row r="92">
      <c r="B92" s="44"/>
    </row>
    <row r="93">
      <c r="B93" s="44"/>
    </row>
    <row r="94">
      <c r="B94" s="44"/>
    </row>
    <row r="95">
      <c r="B95" s="44"/>
    </row>
    <row r="96">
      <c r="B96" s="44"/>
    </row>
    <row r="97">
      <c r="B97" s="44"/>
    </row>
    <row r="98">
      <c r="B98" s="44"/>
    </row>
    <row r="99">
      <c r="B99" s="44"/>
    </row>
    <row r="100">
      <c r="B100" s="44"/>
    </row>
    <row r="101">
      <c r="B101" s="44"/>
    </row>
    <row r="102">
      <c r="B102" s="44"/>
    </row>
    <row r="103">
      <c r="B103" s="44"/>
    </row>
    <row r="104">
      <c r="B104" s="44"/>
    </row>
    <row r="105">
      <c r="B105" s="44"/>
    </row>
    <row r="106">
      <c r="B106" s="44"/>
    </row>
    <row r="107">
      <c r="B107" s="44"/>
    </row>
    <row r="108">
      <c r="B108" s="44"/>
    </row>
    <row r="109">
      <c r="B109" s="44"/>
    </row>
    <row r="110">
      <c r="B110" s="44"/>
    </row>
    <row r="111">
      <c r="B111" s="44"/>
    </row>
    <row r="112">
      <c r="B112" s="44"/>
    </row>
    <row r="113">
      <c r="B113" s="44"/>
    </row>
    <row r="114">
      <c r="B114" s="44"/>
    </row>
    <row r="115">
      <c r="B115" s="44"/>
    </row>
    <row r="116">
      <c r="B116" s="44"/>
    </row>
    <row r="117">
      <c r="B117" s="44"/>
    </row>
    <row r="118">
      <c r="B118" s="44"/>
    </row>
    <row r="119">
      <c r="B119" s="44"/>
    </row>
    <row r="120">
      <c r="B120" s="44"/>
    </row>
    <row r="121">
      <c r="B121" s="44"/>
    </row>
    <row r="122">
      <c r="B122" s="44"/>
    </row>
    <row r="123">
      <c r="B123" s="44"/>
    </row>
    <row r="124">
      <c r="B124" s="44"/>
    </row>
    <row r="125">
      <c r="B125" s="44"/>
    </row>
    <row r="126">
      <c r="B126" s="44"/>
    </row>
    <row r="127">
      <c r="B127" s="44"/>
    </row>
    <row r="128">
      <c r="B128" s="44"/>
    </row>
    <row r="129">
      <c r="B129" s="44"/>
    </row>
    <row r="130">
      <c r="B130" s="44"/>
    </row>
    <row r="131">
      <c r="B131" s="44"/>
    </row>
    <row r="132">
      <c r="B132" s="44"/>
    </row>
    <row r="133">
      <c r="B133" s="44"/>
    </row>
    <row r="134">
      <c r="B134" s="44"/>
    </row>
    <row r="135">
      <c r="B135" s="44"/>
    </row>
    <row r="136">
      <c r="B136" s="44"/>
    </row>
    <row r="137">
      <c r="B137" s="44"/>
    </row>
    <row r="138">
      <c r="B138" s="44"/>
    </row>
    <row r="139">
      <c r="B139" s="44"/>
    </row>
    <row r="140">
      <c r="B140" s="44"/>
    </row>
    <row r="141">
      <c r="B141" s="44"/>
    </row>
    <row r="142">
      <c r="B142" s="44"/>
    </row>
    <row r="143">
      <c r="B143" s="44"/>
    </row>
    <row r="144">
      <c r="B144" s="44"/>
    </row>
    <row r="145">
      <c r="B145" s="44"/>
    </row>
    <row r="146">
      <c r="B146" s="44"/>
    </row>
    <row r="147">
      <c r="B147" s="44"/>
    </row>
    <row r="148">
      <c r="B148" s="44"/>
    </row>
    <row r="149">
      <c r="B149" s="44"/>
    </row>
    <row r="150">
      <c r="B150" s="44"/>
    </row>
    <row r="151">
      <c r="B151" s="44"/>
    </row>
    <row r="152">
      <c r="B152" s="44"/>
    </row>
    <row r="153">
      <c r="B153" s="44"/>
    </row>
    <row r="154">
      <c r="B154" s="44"/>
    </row>
    <row r="155">
      <c r="B155" s="44"/>
    </row>
    <row r="156">
      <c r="B156" s="44"/>
    </row>
    <row r="157">
      <c r="B157" s="44"/>
    </row>
    <row r="158">
      <c r="B158" s="44"/>
    </row>
    <row r="159">
      <c r="B159" s="44"/>
    </row>
    <row r="160">
      <c r="B160" s="44"/>
    </row>
    <row r="161">
      <c r="B161" s="44"/>
    </row>
    <row r="162">
      <c r="B162" s="44"/>
    </row>
    <row r="163">
      <c r="B163" s="44"/>
    </row>
    <row r="164">
      <c r="B164" s="44"/>
    </row>
    <row r="165">
      <c r="B165" s="44"/>
    </row>
    <row r="166">
      <c r="B166" s="44"/>
    </row>
    <row r="167">
      <c r="B167" s="44"/>
    </row>
    <row r="168">
      <c r="B168" s="44"/>
    </row>
    <row r="169">
      <c r="B169" s="44"/>
    </row>
    <row r="170">
      <c r="B170" s="44"/>
    </row>
    <row r="171">
      <c r="B171" s="44"/>
    </row>
    <row r="172">
      <c r="B172" s="44"/>
    </row>
    <row r="173">
      <c r="B173" s="44"/>
    </row>
    <row r="174">
      <c r="B174" s="44"/>
    </row>
    <row r="175">
      <c r="B175" s="44"/>
    </row>
    <row r="176">
      <c r="B176" s="44"/>
    </row>
    <row r="177">
      <c r="B177" s="44"/>
    </row>
    <row r="178">
      <c r="B178" s="44"/>
    </row>
    <row r="179">
      <c r="B179" s="44"/>
    </row>
    <row r="180">
      <c r="B180" s="44"/>
    </row>
    <row r="181">
      <c r="B181" s="44"/>
    </row>
    <row r="182">
      <c r="B182" s="44"/>
    </row>
    <row r="183">
      <c r="B183" s="44"/>
    </row>
    <row r="184">
      <c r="B184" s="44"/>
    </row>
    <row r="185">
      <c r="B185" s="44"/>
    </row>
    <row r="186">
      <c r="B186" s="44"/>
    </row>
    <row r="187">
      <c r="B187" s="44"/>
    </row>
    <row r="188">
      <c r="B188" s="44"/>
    </row>
    <row r="189">
      <c r="B189" s="44"/>
    </row>
    <row r="190">
      <c r="B190" s="44"/>
    </row>
    <row r="191">
      <c r="B191" s="44"/>
    </row>
    <row r="192">
      <c r="B192" s="44"/>
    </row>
    <row r="193">
      <c r="B193" s="44"/>
    </row>
    <row r="194">
      <c r="B194" s="44"/>
    </row>
    <row r="195">
      <c r="B195" s="44"/>
    </row>
    <row r="196">
      <c r="B196" s="44"/>
    </row>
    <row r="197">
      <c r="B197" s="44"/>
    </row>
    <row r="198">
      <c r="B198" s="44"/>
    </row>
    <row r="199">
      <c r="B199" s="44"/>
    </row>
    <row r="200">
      <c r="B200" s="44"/>
    </row>
    <row r="201">
      <c r="B201" s="44"/>
    </row>
    <row r="202">
      <c r="B202" s="44"/>
    </row>
    <row r="203">
      <c r="B203" s="44"/>
    </row>
    <row r="204">
      <c r="B204" s="44"/>
    </row>
    <row r="205">
      <c r="B205" s="44"/>
    </row>
    <row r="206">
      <c r="B206" s="44"/>
    </row>
    <row r="207">
      <c r="B207" s="44"/>
    </row>
    <row r="208">
      <c r="B208" s="44"/>
    </row>
    <row r="209">
      <c r="B209" s="44"/>
    </row>
    <row r="210">
      <c r="B210" s="44"/>
    </row>
    <row r="211">
      <c r="B211" s="44"/>
    </row>
    <row r="212">
      <c r="B212" s="44"/>
    </row>
    <row r="213">
      <c r="B213" s="44"/>
    </row>
    <row r="214">
      <c r="B214" s="44"/>
    </row>
    <row r="215">
      <c r="B215" s="44"/>
    </row>
    <row r="216">
      <c r="B216" s="44"/>
    </row>
    <row r="217">
      <c r="B217" s="44"/>
    </row>
    <row r="218">
      <c r="B218" s="44"/>
    </row>
    <row r="219">
      <c r="B219" s="44"/>
    </row>
    <row r="220">
      <c r="B220" s="44"/>
    </row>
    <row r="221">
      <c r="B221" s="44"/>
    </row>
    <row r="222">
      <c r="B222" s="44"/>
    </row>
    <row r="223">
      <c r="B223" s="44"/>
    </row>
    <row r="224">
      <c r="B224" s="44"/>
    </row>
    <row r="225">
      <c r="B225" s="44"/>
    </row>
    <row r="226">
      <c r="B226" s="44"/>
    </row>
    <row r="227">
      <c r="B227" s="44"/>
    </row>
    <row r="228">
      <c r="B228" s="44"/>
    </row>
    <row r="229">
      <c r="B229" s="44"/>
    </row>
    <row r="230">
      <c r="B230" s="44"/>
    </row>
    <row r="231">
      <c r="B231" s="44"/>
    </row>
    <row r="232">
      <c r="B232" s="44"/>
    </row>
    <row r="233">
      <c r="B233" s="44"/>
    </row>
    <row r="234">
      <c r="B234" s="44"/>
    </row>
    <row r="235">
      <c r="B235" s="44"/>
    </row>
    <row r="236">
      <c r="B236" s="44"/>
    </row>
    <row r="237">
      <c r="B237" s="44"/>
    </row>
    <row r="238">
      <c r="B238" s="44"/>
    </row>
    <row r="239">
      <c r="B239" s="44"/>
    </row>
    <row r="240">
      <c r="B240" s="44"/>
    </row>
    <row r="241">
      <c r="B241" s="44"/>
    </row>
    <row r="242">
      <c r="B242" s="44"/>
    </row>
    <row r="243">
      <c r="B243" s="44"/>
    </row>
    <row r="244">
      <c r="B244" s="44"/>
    </row>
    <row r="245">
      <c r="B245" s="44"/>
    </row>
    <row r="246">
      <c r="B246" s="44"/>
    </row>
    <row r="247">
      <c r="B247" s="44"/>
    </row>
    <row r="248">
      <c r="B248" s="44"/>
    </row>
    <row r="249">
      <c r="B249" s="44"/>
    </row>
    <row r="250">
      <c r="B250" s="44"/>
    </row>
    <row r="251">
      <c r="B251" s="44"/>
    </row>
    <row r="252">
      <c r="B252" s="44"/>
    </row>
    <row r="253">
      <c r="B253" s="44"/>
    </row>
    <row r="254">
      <c r="B254" s="44"/>
    </row>
    <row r="255">
      <c r="B255" s="44"/>
    </row>
    <row r="256">
      <c r="B256" s="44"/>
    </row>
    <row r="257">
      <c r="B257" s="44"/>
    </row>
    <row r="258">
      <c r="B258" s="44"/>
    </row>
    <row r="259">
      <c r="B259" s="44"/>
    </row>
    <row r="260">
      <c r="B260" s="44"/>
    </row>
    <row r="261">
      <c r="B261" s="44"/>
    </row>
    <row r="262">
      <c r="B262" s="44"/>
    </row>
    <row r="263">
      <c r="B263" s="44"/>
    </row>
    <row r="264">
      <c r="B264" s="44"/>
    </row>
    <row r="265">
      <c r="B265" s="44"/>
    </row>
    <row r="266">
      <c r="B266" s="44"/>
    </row>
    <row r="267">
      <c r="B267" s="44"/>
    </row>
    <row r="268">
      <c r="B268" s="44"/>
    </row>
    <row r="269">
      <c r="B269" s="44"/>
    </row>
    <row r="270">
      <c r="B270" s="44"/>
    </row>
    <row r="271">
      <c r="B271" s="44"/>
    </row>
    <row r="272">
      <c r="B272" s="44"/>
    </row>
    <row r="273">
      <c r="B273" s="44"/>
    </row>
    <row r="274">
      <c r="B274" s="44"/>
    </row>
    <row r="275">
      <c r="B275" s="44"/>
    </row>
    <row r="276">
      <c r="B276" s="44"/>
    </row>
    <row r="277">
      <c r="B277" s="44"/>
    </row>
    <row r="278">
      <c r="B278" s="44"/>
    </row>
    <row r="279">
      <c r="B279" s="44"/>
    </row>
    <row r="280">
      <c r="B280" s="44"/>
    </row>
    <row r="281">
      <c r="B281" s="44"/>
    </row>
    <row r="282">
      <c r="B282" s="44"/>
    </row>
    <row r="283">
      <c r="B283" s="44"/>
    </row>
    <row r="284">
      <c r="B284" s="44"/>
    </row>
    <row r="285">
      <c r="B285" s="44"/>
    </row>
    <row r="286">
      <c r="B286" s="44"/>
    </row>
    <row r="287">
      <c r="B287" s="44"/>
    </row>
    <row r="288">
      <c r="B288" s="44"/>
    </row>
    <row r="289">
      <c r="B289" s="44"/>
    </row>
    <row r="290">
      <c r="B290" s="44"/>
    </row>
    <row r="291">
      <c r="B291" s="44"/>
    </row>
    <row r="292">
      <c r="B292" s="44"/>
    </row>
    <row r="293">
      <c r="B293" s="44"/>
    </row>
    <row r="294">
      <c r="B294" s="44"/>
    </row>
    <row r="295">
      <c r="B295" s="44"/>
    </row>
    <row r="296">
      <c r="B296" s="44"/>
    </row>
    <row r="297">
      <c r="B297" s="44"/>
    </row>
    <row r="298">
      <c r="B298" s="44"/>
    </row>
    <row r="299">
      <c r="B299" s="44"/>
    </row>
    <row r="300">
      <c r="B300" s="44"/>
    </row>
    <row r="301">
      <c r="B301" s="44"/>
    </row>
    <row r="302">
      <c r="B302" s="44"/>
    </row>
    <row r="303">
      <c r="B303" s="44"/>
    </row>
    <row r="304">
      <c r="B304" s="44"/>
    </row>
    <row r="305">
      <c r="B305" s="44"/>
    </row>
    <row r="306">
      <c r="B306" s="44"/>
    </row>
    <row r="307">
      <c r="B307" s="44"/>
    </row>
    <row r="308">
      <c r="B308" s="44"/>
    </row>
    <row r="309">
      <c r="B309" s="44"/>
    </row>
    <row r="310">
      <c r="B310" s="44"/>
    </row>
    <row r="311">
      <c r="B311" s="44"/>
    </row>
    <row r="312">
      <c r="B312" s="44"/>
    </row>
    <row r="313">
      <c r="B313" s="44"/>
    </row>
    <row r="314">
      <c r="B314" s="44"/>
    </row>
    <row r="315">
      <c r="B315" s="44"/>
    </row>
    <row r="316">
      <c r="B316" s="44"/>
    </row>
    <row r="317">
      <c r="B317" s="44"/>
    </row>
    <row r="318">
      <c r="B318" s="44"/>
    </row>
    <row r="319">
      <c r="B319" s="44"/>
    </row>
    <row r="320">
      <c r="B320" s="44"/>
    </row>
    <row r="321">
      <c r="B321" s="44"/>
    </row>
    <row r="322">
      <c r="B322" s="44"/>
    </row>
    <row r="323">
      <c r="B323" s="44"/>
    </row>
    <row r="324">
      <c r="B324" s="44"/>
    </row>
    <row r="325">
      <c r="B325" s="44"/>
    </row>
    <row r="326">
      <c r="B326" s="44"/>
    </row>
    <row r="327">
      <c r="B327" s="44"/>
    </row>
    <row r="328">
      <c r="B328" s="44"/>
    </row>
    <row r="329">
      <c r="B329" s="44"/>
    </row>
    <row r="330">
      <c r="B330" s="44"/>
    </row>
    <row r="331">
      <c r="B331" s="44"/>
    </row>
    <row r="332">
      <c r="B332" s="44"/>
    </row>
    <row r="333">
      <c r="B333" s="44"/>
    </row>
    <row r="334">
      <c r="B334" s="44"/>
    </row>
    <row r="335">
      <c r="B335" s="44"/>
    </row>
    <row r="336">
      <c r="B336" s="44"/>
    </row>
    <row r="337">
      <c r="B337" s="44"/>
    </row>
    <row r="338">
      <c r="B338" s="44"/>
    </row>
    <row r="339">
      <c r="B339" s="44"/>
    </row>
    <row r="340">
      <c r="B340" s="44"/>
    </row>
    <row r="341">
      <c r="B341" s="44"/>
    </row>
    <row r="342">
      <c r="B342" s="44"/>
    </row>
    <row r="343">
      <c r="B343" s="44"/>
    </row>
    <row r="344">
      <c r="B344" s="44"/>
    </row>
    <row r="345">
      <c r="B345" s="44"/>
    </row>
    <row r="346">
      <c r="B346" s="44"/>
    </row>
    <row r="347">
      <c r="B347" s="44"/>
    </row>
    <row r="348">
      <c r="B348" s="44"/>
    </row>
    <row r="349">
      <c r="B349" s="44"/>
    </row>
    <row r="350">
      <c r="B350" s="44"/>
    </row>
    <row r="351">
      <c r="B351" s="44"/>
    </row>
    <row r="352">
      <c r="B352" s="44"/>
    </row>
    <row r="353">
      <c r="B353" s="44"/>
    </row>
    <row r="354">
      <c r="B354" s="44"/>
    </row>
    <row r="355">
      <c r="B355" s="44"/>
    </row>
    <row r="356">
      <c r="B356" s="44"/>
    </row>
    <row r="357">
      <c r="B357" s="44"/>
    </row>
    <row r="358">
      <c r="B358" s="44"/>
    </row>
    <row r="359">
      <c r="B359" s="44"/>
    </row>
    <row r="360">
      <c r="B360" s="44"/>
    </row>
    <row r="361">
      <c r="B361" s="44"/>
    </row>
    <row r="362">
      <c r="B362" s="44"/>
    </row>
    <row r="363">
      <c r="B363" s="44"/>
    </row>
    <row r="364">
      <c r="B364" s="44"/>
    </row>
    <row r="365">
      <c r="B365" s="44"/>
    </row>
    <row r="366">
      <c r="B366" s="44"/>
    </row>
    <row r="367">
      <c r="B367" s="44"/>
    </row>
    <row r="368">
      <c r="B368" s="44"/>
    </row>
    <row r="369">
      <c r="B369" s="44"/>
    </row>
    <row r="370">
      <c r="B370" s="44"/>
    </row>
    <row r="371">
      <c r="B371" s="44"/>
    </row>
    <row r="372">
      <c r="B372" s="44"/>
    </row>
    <row r="373">
      <c r="B373" s="44"/>
    </row>
    <row r="374">
      <c r="B374" s="44"/>
    </row>
    <row r="375">
      <c r="B375" s="44"/>
    </row>
    <row r="376">
      <c r="B376" s="44"/>
    </row>
    <row r="377">
      <c r="B377" s="44"/>
    </row>
    <row r="378">
      <c r="B378" s="44"/>
    </row>
    <row r="379">
      <c r="B379" s="44"/>
    </row>
    <row r="380">
      <c r="B380" s="44"/>
    </row>
    <row r="381">
      <c r="B381" s="44"/>
    </row>
    <row r="382">
      <c r="B382" s="44"/>
    </row>
    <row r="383">
      <c r="B383" s="44"/>
    </row>
    <row r="384">
      <c r="B384" s="44"/>
    </row>
    <row r="385">
      <c r="B385" s="44"/>
    </row>
    <row r="386">
      <c r="B386" s="44"/>
    </row>
    <row r="387">
      <c r="B387" s="44"/>
    </row>
    <row r="388">
      <c r="B388" s="44"/>
    </row>
    <row r="389">
      <c r="B389" s="44"/>
    </row>
    <row r="390">
      <c r="B390" s="44"/>
    </row>
    <row r="391">
      <c r="B391" s="44"/>
    </row>
    <row r="392">
      <c r="B392" s="44"/>
    </row>
    <row r="393">
      <c r="B393" s="44"/>
    </row>
    <row r="394">
      <c r="B394" s="44"/>
    </row>
    <row r="395">
      <c r="B395" s="44"/>
    </row>
    <row r="396">
      <c r="B396" s="44"/>
    </row>
    <row r="397">
      <c r="B397" s="44"/>
    </row>
    <row r="398">
      <c r="B398" s="44"/>
    </row>
    <row r="399">
      <c r="B399" s="44"/>
    </row>
    <row r="400">
      <c r="B400" s="44"/>
    </row>
    <row r="401">
      <c r="B401" s="44"/>
    </row>
    <row r="402">
      <c r="B402" s="44"/>
    </row>
    <row r="403">
      <c r="B403" s="44"/>
    </row>
    <row r="404">
      <c r="B404" s="44"/>
    </row>
    <row r="405">
      <c r="B405" s="44"/>
    </row>
    <row r="406">
      <c r="B406" s="44"/>
    </row>
    <row r="407">
      <c r="B407" s="44"/>
    </row>
    <row r="408">
      <c r="B408" s="44"/>
    </row>
    <row r="409">
      <c r="B409" s="44"/>
    </row>
    <row r="410">
      <c r="B410" s="44"/>
    </row>
    <row r="411">
      <c r="B411" s="44"/>
    </row>
    <row r="412">
      <c r="B412" s="44"/>
    </row>
    <row r="413">
      <c r="B413" s="44"/>
    </row>
    <row r="414">
      <c r="B414" s="44"/>
    </row>
    <row r="415">
      <c r="B415" s="44"/>
    </row>
    <row r="416">
      <c r="B416" s="44"/>
    </row>
    <row r="417">
      <c r="B417" s="44"/>
    </row>
    <row r="418">
      <c r="B418" s="44"/>
    </row>
    <row r="419">
      <c r="B419" s="44"/>
    </row>
    <row r="420">
      <c r="B420" s="44"/>
    </row>
    <row r="421">
      <c r="B421" s="44"/>
    </row>
    <row r="422">
      <c r="B422" s="44"/>
    </row>
    <row r="423">
      <c r="B423" s="44"/>
    </row>
    <row r="424">
      <c r="B424" s="44"/>
    </row>
    <row r="425">
      <c r="B425" s="44"/>
    </row>
    <row r="426">
      <c r="B426" s="44"/>
    </row>
    <row r="427">
      <c r="B427" s="44"/>
    </row>
    <row r="428">
      <c r="B428" s="44"/>
    </row>
    <row r="429">
      <c r="B429" s="44"/>
    </row>
    <row r="430">
      <c r="B430" s="44"/>
    </row>
    <row r="431">
      <c r="B431" s="44"/>
    </row>
    <row r="432">
      <c r="B432" s="44"/>
    </row>
    <row r="433">
      <c r="B433" s="44"/>
    </row>
    <row r="434">
      <c r="B434" s="44"/>
    </row>
    <row r="435">
      <c r="B435" s="44"/>
    </row>
    <row r="436">
      <c r="B436" s="44"/>
    </row>
    <row r="437">
      <c r="B437" s="44"/>
    </row>
    <row r="438">
      <c r="B438" s="44"/>
    </row>
    <row r="439">
      <c r="B439" s="44"/>
    </row>
    <row r="440">
      <c r="B440" s="44"/>
    </row>
    <row r="441">
      <c r="B441" s="44"/>
    </row>
    <row r="442">
      <c r="B442" s="44"/>
    </row>
    <row r="443">
      <c r="B443" s="44"/>
    </row>
    <row r="444">
      <c r="B444" s="44"/>
    </row>
    <row r="445">
      <c r="B445" s="44"/>
    </row>
    <row r="446">
      <c r="B446" s="44"/>
    </row>
    <row r="447">
      <c r="B447" s="44"/>
    </row>
    <row r="448">
      <c r="B448" s="44"/>
    </row>
    <row r="449">
      <c r="B449" s="44"/>
    </row>
    <row r="450">
      <c r="B450" s="44"/>
    </row>
    <row r="451">
      <c r="B451" s="44"/>
    </row>
    <row r="452">
      <c r="B452" s="44"/>
    </row>
    <row r="453">
      <c r="B453" s="44"/>
    </row>
    <row r="454">
      <c r="B454" s="44"/>
    </row>
    <row r="455">
      <c r="B455" s="44"/>
    </row>
    <row r="456">
      <c r="B456" s="44"/>
    </row>
    <row r="457">
      <c r="B457" s="44"/>
    </row>
    <row r="458">
      <c r="B458" s="44"/>
    </row>
    <row r="459">
      <c r="B459" s="44"/>
    </row>
    <row r="460">
      <c r="B460" s="44"/>
    </row>
    <row r="461">
      <c r="B461" s="44"/>
    </row>
    <row r="462">
      <c r="B462" s="44"/>
    </row>
    <row r="463">
      <c r="B463" s="44"/>
    </row>
    <row r="464">
      <c r="B464" s="44"/>
    </row>
    <row r="465">
      <c r="B465" s="44"/>
    </row>
    <row r="466">
      <c r="B466" s="44"/>
    </row>
    <row r="467">
      <c r="B467" s="44"/>
    </row>
    <row r="468">
      <c r="B468" s="44"/>
    </row>
    <row r="469">
      <c r="B469" s="44"/>
    </row>
    <row r="470">
      <c r="B470" s="44"/>
    </row>
    <row r="471">
      <c r="B471" s="44"/>
    </row>
    <row r="472">
      <c r="B472" s="44"/>
    </row>
    <row r="473">
      <c r="B473" s="44"/>
    </row>
    <row r="474">
      <c r="B474" s="44"/>
    </row>
    <row r="475">
      <c r="B475" s="44"/>
    </row>
    <row r="476">
      <c r="B476" s="44"/>
    </row>
    <row r="477">
      <c r="B477" s="44"/>
    </row>
    <row r="478">
      <c r="B478" s="44"/>
    </row>
    <row r="479">
      <c r="B479" s="44"/>
    </row>
    <row r="480">
      <c r="B480" s="44"/>
    </row>
    <row r="481">
      <c r="B481" s="44"/>
    </row>
    <row r="482">
      <c r="B482" s="44"/>
    </row>
    <row r="483">
      <c r="B483" s="44"/>
    </row>
    <row r="484">
      <c r="B484" s="44"/>
    </row>
    <row r="485">
      <c r="B485" s="44"/>
    </row>
    <row r="486">
      <c r="B486" s="44"/>
    </row>
    <row r="487">
      <c r="B487" s="44"/>
    </row>
    <row r="488">
      <c r="B488" s="44"/>
    </row>
    <row r="489">
      <c r="B489" s="44"/>
    </row>
    <row r="490">
      <c r="B490" s="44"/>
    </row>
    <row r="491">
      <c r="B491" s="44"/>
    </row>
    <row r="492">
      <c r="B492" s="44"/>
    </row>
    <row r="493">
      <c r="B493" s="44"/>
    </row>
    <row r="494">
      <c r="B494" s="44"/>
    </row>
    <row r="495">
      <c r="B495" s="44"/>
    </row>
    <row r="496">
      <c r="B496" s="44"/>
    </row>
    <row r="497">
      <c r="B497" s="44"/>
    </row>
    <row r="498">
      <c r="B498" s="44"/>
    </row>
    <row r="499">
      <c r="B499" s="44"/>
    </row>
    <row r="500">
      <c r="B500" s="44"/>
    </row>
    <row r="501">
      <c r="B501" s="44"/>
    </row>
    <row r="502">
      <c r="B502" s="44"/>
    </row>
    <row r="503">
      <c r="B503" s="44"/>
    </row>
    <row r="504">
      <c r="B504" s="44"/>
    </row>
    <row r="505">
      <c r="B505" s="44"/>
    </row>
    <row r="506">
      <c r="B506" s="44"/>
    </row>
    <row r="507">
      <c r="B507" s="44"/>
    </row>
    <row r="508">
      <c r="B508" s="44"/>
    </row>
    <row r="509">
      <c r="B509" s="44"/>
    </row>
    <row r="510">
      <c r="B510" s="44"/>
    </row>
    <row r="511">
      <c r="B511" s="44"/>
    </row>
    <row r="512">
      <c r="B512" s="44"/>
    </row>
    <row r="513">
      <c r="B513" s="44"/>
    </row>
    <row r="514">
      <c r="B514" s="44"/>
    </row>
    <row r="515">
      <c r="B515" s="44"/>
    </row>
    <row r="516">
      <c r="B516" s="44"/>
    </row>
    <row r="517">
      <c r="B517" s="44"/>
    </row>
    <row r="518">
      <c r="B518" s="44"/>
    </row>
    <row r="519">
      <c r="B519" s="44"/>
    </row>
    <row r="520">
      <c r="B520" s="44"/>
    </row>
    <row r="521">
      <c r="B521" s="44"/>
    </row>
    <row r="522">
      <c r="B522" s="44"/>
    </row>
    <row r="523">
      <c r="B523" s="44"/>
    </row>
    <row r="524">
      <c r="B524" s="44"/>
    </row>
    <row r="525">
      <c r="B525" s="44"/>
    </row>
    <row r="526">
      <c r="B526" s="44"/>
    </row>
    <row r="527">
      <c r="B527" s="44"/>
    </row>
    <row r="528">
      <c r="B528" s="44"/>
    </row>
    <row r="529">
      <c r="B529" s="44"/>
    </row>
    <row r="530">
      <c r="B530" s="44"/>
    </row>
    <row r="531">
      <c r="B531" s="44"/>
    </row>
    <row r="532">
      <c r="B532" s="44"/>
    </row>
    <row r="533">
      <c r="B533" s="44"/>
    </row>
    <row r="534">
      <c r="B534" s="44"/>
    </row>
    <row r="535">
      <c r="B535" s="44"/>
    </row>
    <row r="536">
      <c r="B536" s="44"/>
    </row>
    <row r="537">
      <c r="B537" s="44"/>
    </row>
    <row r="538">
      <c r="B538" s="44"/>
    </row>
    <row r="539">
      <c r="B539" s="44"/>
    </row>
    <row r="540">
      <c r="B540" s="44"/>
    </row>
    <row r="541">
      <c r="B541" s="44"/>
    </row>
    <row r="542">
      <c r="B542" s="44"/>
    </row>
    <row r="543">
      <c r="B543" s="44"/>
    </row>
    <row r="544">
      <c r="B544" s="44"/>
    </row>
    <row r="545">
      <c r="B545" s="44"/>
    </row>
    <row r="546">
      <c r="B546" s="44"/>
    </row>
    <row r="547">
      <c r="B547" s="44"/>
    </row>
    <row r="548">
      <c r="B548" s="44"/>
    </row>
    <row r="549">
      <c r="B549" s="44"/>
    </row>
    <row r="550">
      <c r="B550" s="44"/>
    </row>
    <row r="551">
      <c r="B551" s="44"/>
    </row>
    <row r="552">
      <c r="B552" s="44"/>
    </row>
    <row r="553">
      <c r="B553" s="44"/>
    </row>
    <row r="554">
      <c r="B554" s="44"/>
    </row>
    <row r="555">
      <c r="B555" s="44"/>
    </row>
    <row r="556">
      <c r="B556" s="44"/>
    </row>
    <row r="557">
      <c r="B557" s="44"/>
    </row>
    <row r="558">
      <c r="B558" s="44"/>
    </row>
    <row r="559">
      <c r="B559" s="44"/>
    </row>
    <row r="560">
      <c r="B560" s="44"/>
    </row>
    <row r="561">
      <c r="B561" s="44"/>
    </row>
    <row r="562">
      <c r="B562" s="44"/>
    </row>
    <row r="563">
      <c r="B563" s="44"/>
    </row>
    <row r="564">
      <c r="B564" s="44"/>
    </row>
    <row r="565">
      <c r="B565" s="44"/>
    </row>
    <row r="566">
      <c r="B566" s="44"/>
    </row>
    <row r="567">
      <c r="B567" s="44"/>
    </row>
    <row r="568">
      <c r="B568" s="44"/>
    </row>
    <row r="569">
      <c r="B569" s="44"/>
    </row>
    <row r="570">
      <c r="B570" s="44"/>
    </row>
    <row r="571">
      <c r="B571" s="44"/>
    </row>
    <row r="572">
      <c r="B572" s="44"/>
    </row>
    <row r="573">
      <c r="B573" s="44"/>
    </row>
    <row r="574">
      <c r="B574" s="44"/>
    </row>
    <row r="575">
      <c r="B575" s="44"/>
    </row>
    <row r="576">
      <c r="B576" s="44"/>
    </row>
    <row r="577">
      <c r="B577" s="44"/>
    </row>
    <row r="578">
      <c r="B578" s="44"/>
    </row>
    <row r="579">
      <c r="B579" s="44"/>
    </row>
    <row r="580">
      <c r="B580" s="44"/>
    </row>
    <row r="581">
      <c r="B581" s="44"/>
    </row>
    <row r="582">
      <c r="B582" s="44"/>
    </row>
    <row r="583">
      <c r="B583" s="44"/>
    </row>
    <row r="584">
      <c r="B584" s="44"/>
    </row>
    <row r="585">
      <c r="B585" s="44"/>
    </row>
    <row r="586">
      <c r="B586" s="44"/>
    </row>
    <row r="587">
      <c r="B587" s="44"/>
    </row>
    <row r="588">
      <c r="B588" s="44"/>
    </row>
    <row r="589">
      <c r="B589" s="44"/>
    </row>
    <row r="590">
      <c r="B590" s="44"/>
    </row>
    <row r="591">
      <c r="B591" s="44"/>
    </row>
    <row r="592">
      <c r="B592" s="44"/>
    </row>
    <row r="593">
      <c r="B593" s="44"/>
    </row>
    <row r="594">
      <c r="B594" s="44"/>
    </row>
    <row r="595">
      <c r="B595" s="44"/>
    </row>
    <row r="596">
      <c r="B596" s="44"/>
    </row>
    <row r="597">
      <c r="B597" s="44"/>
    </row>
    <row r="598">
      <c r="B598" s="44"/>
    </row>
    <row r="599">
      <c r="B599" s="44"/>
    </row>
    <row r="600">
      <c r="B600" s="44"/>
    </row>
    <row r="601">
      <c r="B601" s="44"/>
    </row>
    <row r="602">
      <c r="B602" s="44"/>
    </row>
    <row r="603">
      <c r="B603" s="44"/>
    </row>
    <row r="604">
      <c r="B604" s="44"/>
    </row>
    <row r="605">
      <c r="B605" s="44"/>
    </row>
    <row r="606">
      <c r="B606" s="44"/>
    </row>
    <row r="607">
      <c r="B607" s="44"/>
    </row>
    <row r="608">
      <c r="B608" s="44"/>
    </row>
    <row r="609">
      <c r="B609" s="44"/>
    </row>
    <row r="610">
      <c r="B610" s="44"/>
    </row>
    <row r="611">
      <c r="B611" s="44"/>
    </row>
    <row r="612">
      <c r="B612" s="44"/>
    </row>
    <row r="613">
      <c r="B613" s="44"/>
    </row>
    <row r="614">
      <c r="B614" s="44"/>
    </row>
    <row r="615">
      <c r="B615" s="44"/>
    </row>
    <row r="616">
      <c r="B616" s="44"/>
    </row>
    <row r="617">
      <c r="B617" s="44"/>
    </row>
    <row r="618">
      <c r="B618" s="44"/>
    </row>
    <row r="619">
      <c r="B619" s="44"/>
    </row>
    <row r="620">
      <c r="B620" s="44"/>
    </row>
    <row r="621">
      <c r="B621" s="44"/>
    </row>
    <row r="622">
      <c r="B622" s="44"/>
    </row>
    <row r="623">
      <c r="B623" s="44"/>
    </row>
    <row r="624">
      <c r="B624" s="44"/>
    </row>
    <row r="625">
      <c r="B625" s="44"/>
    </row>
    <row r="626">
      <c r="B626" s="44"/>
    </row>
    <row r="627">
      <c r="B627" s="44"/>
    </row>
    <row r="628">
      <c r="B628" s="44"/>
    </row>
    <row r="629">
      <c r="B629" s="44"/>
    </row>
    <row r="630">
      <c r="B630" s="44"/>
    </row>
    <row r="631">
      <c r="B631" s="44"/>
    </row>
    <row r="632">
      <c r="B632" s="44"/>
    </row>
    <row r="633">
      <c r="B633" s="44"/>
    </row>
    <row r="634">
      <c r="B634" s="44"/>
    </row>
    <row r="635">
      <c r="B635" s="44"/>
    </row>
    <row r="636">
      <c r="B636" s="44"/>
    </row>
    <row r="637">
      <c r="B637" s="44"/>
    </row>
    <row r="638">
      <c r="B638" s="44"/>
    </row>
    <row r="639">
      <c r="B639" s="44"/>
    </row>
    <row r="640">
      <c r="B640" s="44"/>
    </row>
    <row r="641">
      <c r="B641" s="44"/>
    </row>
    <row r="642">
      <c r="B642" s="44"/>
    </row>
    <row r="643">
      <c r="B643" s="44"/>
    </row>
    <row r="644">
      <c r="B644" s="44"/>
    </row>
    <row r="645">
      <c r="B645" s="44"/>
    </row>
    <row r="646">
      <c r="B646" s="44"/>
    </row>
    <row r="647">
      <c r="B647" s="44"/>
    </row>
    <row r="648">
      <c r="B648" s="44"/>
    </row>
    <row r="649">
      <c r="B649" s="44"/>
    </row>
    <row r="650">
      <c r="B650" s="44"/>
    </row>
    <row r="651">
      <c r="B651" s="44"/>
    </row>
    <row r="652">
      <c r="B652" s="44"/>
    </row>
    <row r="653">
      <c r="B653" s="44"/>
    </row>
    <row r="654">
      <c r="B654" s="44"/>
    </row>
    <row r="655">
      <c r="B655" s="44"/>
    </row>
    <row r="656">
      <c r="B656" s="44"/>
    </row>
    <row r="657">
      <c r="B657" s="44"/>
    </row>
    <row r="658">
      <c r="B658" s="44"/>
    </row>
    <row r="659">
      <c r="B659" s="44"/>
    </row>
    <row r="660">
      <c r="B660" s="44"/>
    </row>
    <row r="661">
      <c r="B661" s="44"/>
    </row>
    <row r="662">
      <c r="B662" s="44"/>
    </row>
    <row r="663">
      <c r="B663" s="44"/>
    </row>
    <row r="664">
      <c r="B664" s="44"/>
    </row>
    <row r="665">
      <c r="B665" s="44"/>
    </row>
    <row r="666">
      <c r="B666" s="44"/>
    </row>
    <row r="667">
      <c r="B667" s="44"/>
    </row>
    <row r="668">
      <c r="B668" s="44"/>
    </row>
    <row r="669">
      <c r="B669" s="44"/>
    </row>
    <row r="670">
      <c r="B670" s="44"/>
    </row>
    <row r="671">
      <c r="B671" s="44"/>
    </row>
    <row r="672">
      <c r="B672" s="44"/>
    </row>
    <row r="673">
      <c r="B673" s="44"/>
    </row>
    <row r="674">
      <c r="B674" s="44"/>
    </row>
    <row r="675">
      <c r="B675" s="44"/>
    </row>
    <row r="676">
      <c r="B676" s="44"/>
    </row>
    <row r="677">
      <c r="B677" s="44"/>
    </row>
    <row r="678">
      <c r="B678" s="44"/>
    </row>
    <row r="679">
      <c r="B679" s="44"/>
    </row>
    <row r="680">
      <c r="B680" s="44"/>
    </row>
    <row r="681">
      <c r="B681" s="44"/>
    </row>
    <row r="682">
      <c r="B682" s="44"/>
    </row>
    <row r="683">
      <c r="B683" s="44"/>
    </row>
    <row r="684">
      <c r="B684" s="44"/>
    </row>
    <row r="685">
      <c r="B685" s="44"/>
    </row>
    <row r="686">
      <c r="B686" s="44"/>
    </row>
    <row r="687">
      <c r="B687" s="44"/>
    </row>
    <row r="688">
      <c r="B688" s="44"/>
    </row>
    <row r="689">
      <c r="B689" s="44"/>
    </row>
    <row r="690">
      <c r="B690" s="44"/>
    </row>
    <row r="691">
      <c r="B691" s="44"/>
    </row>
    <row r="692">
      <c r="B692" s="44"/>
    </row>
    <row r="693">
      <c r="B693" s="44"/>
    </row>
    <row r="694">
      <c r="B694" s="44"/>
    </row>
    <row r="695">
      <c r="B695" s="44"/>
    </row>
    <row r="696">
      <c r="B696" s="44"/>
    </row>
    <row r="697">
      <c r="B697" s="44"/>
    </row>
    <row r="698">
      <c r="B698" s="44"/>
    </row>
    <row r="699">
      <c r="B699" s="44"/>
    </row>
    <row r="700">
      <c r="B700" s="44"/>
    </row>
    <row r="701">
      <c r="B701" s="44"/>
    </row>
    <row r="702">
      <c r="B702" s="44"/>
    </row>
    <row r="703">
      <c r="B703" s="44"/>
    </row>
    <row r="704">
      <c r="B704" s="44"/>
    </row>
    <row r="705">
      <c r="B705" s="44"/>
    </row>
    <row r="706">
      <c r="B706" s="44"/>
    </row>
    <row r="707">
      <c r="B707" s="44"/>
    </row>
    <row r="708">
      <c r="B708" s="44"/>
    </row>
    <row r="709">
      <c r="B709" s="44"/>
    </row>
    <row r="710">
      <c r="B710" s="44"/>
    </row>
    <row r="711">
      <c r="B711" s="44"/>
    </row>
    <row r="712">
      <c r="B712" s="44"/>
    </row>
    <row r="713">
      <c r="B713" s="44"/>
    </row>
    <row r="714">
      <c r="B714" s="44"/>
    </row>
    <row r="715">
      <c r="B715" s="44"/>
    </row>
    <row r="716">
      <c r="B716" s="44"/>
    </row>
    <row r="717">
      <c r="B717" s="44"/>
    </row>
    <row r="718">
      <c r="B718" s="44"/>
    </row>
    <row r="719">
      <c r="B719" s="44"/>
    </row>
    <row r="720">
      <c r="B720" s="44"/>
    </row>
    <row r="721">
      <c r="B721" s="44"/>
    </row>
    <row r="722">
      <c r="B722" s="44"/>
    </row>
    <row r="723">
      <c r="B723" s="44"/>
    </row>
    <row r="724">
      <c r="B724" s="44"/>
    </row>
    <row r="725">
      <c r="B725" s="44"/>
    </row>
    <row r="726">
      <c r="B726" s="44"/>
    </row>
    <row r="727">
      <c r="B727" s="44"/>
    </row>
    <row r="728">
      <c r="B728" s="44"/>
    </row>
    <row r="729">
      <c r="B729" s="44"/>
    </row>
    <row r="730">
      <c r="B730" s="44"/>
    </row>
    <row r="731">
      <c r="B731" s="44"/>
    </row>
    <row r="732">
      <c r="B732" s="44"/>
    </row>
    <row r="733">
      <c r="B733" s="44"/>
    </row>
    <row r="734">
      <c r="B734" s="44"/>
    </row>
    <row r="735">
      <c r="B735" s="44"/>
    </row>
    <row r="736">
      <c r="B736" s="44"/>
    </row>
    <row r="737">
      <c r="B737" s="44"/>
    </row>
    <row r="738">
      <c r="B738" s="44"/>
    </row>
    <row r="739">
      <c r="B739" s="44"/>
    </row>
    <row r="740">
      <c r="B740" s="44"/>
    </row>
    <row r="741">
      <c r="B741" s="44"/>
    </row>
    <row r="742">
      <c r="B742" s="44"/>
    </row>
    <row r="743">
      <c r="B743" s="44"/>
    </row>
    <row r="744">
      <c r="B744" s="44"/>
    </row>
    <row r="745">
      <c r="B745" s="44"/>
    </row>
    <row r="746">
      <c r="B746" s="44"/>
    </row>
    <row r="747">
      <c r="B747" s="44"/>
    </row>
    <row r="748">
      <c r="B748" s="44"/>
    </row>
    <row r="749">
      <c r="B749" s="44"/>
    </row>
    <row r="750">
      <c r="B750" s="44"/>
    </row>
    <row r="751">
      <c r="B751" s="44"/>
    </row>
    <row r="752">
      <c r="B752" s="44"/>
    </row>
    <row r="753">
      <c r="B753" s="44"/>
    </row>
    <row r="754">
      <c r="B754" s="44"/>
    </row>
    <row r="755">
      <c r="B755" s="44"/>
    </row>
    <row r="756">
      <c r="B756" s="44"/>
    </row>
    <row r="757">
      <c r="B757" s="44"/>
    </row>
    <row r="758">
      <c r="B758" s="44"/>
    </row>
    <row r="759">
      <c r="B759" s="44"/>
    </row>
    <row r="760">
      <c r="B760" s="44"/>
    </row>
    <row r="761">
      <c r="B761" s="44"/>
    </row>
    <row r="762">
      <c r="B762" s="44"/>
    </row>
    <row r="763">
      <c r="B763" s="44"/>
    </row>
    <row r="764">
      <c r="B764" s="44"/>
    </row>
    <row r="765">
      <c r="B765" s="44"/>
    </row>
    <row r="766">
      <c r="B766" s="44"/>
    </row>
    <row r="767">
      <c r="B767" s="44"/>
    </row>
    <row r="768">
      <c r="B768" s="44"/>
    </row>
    <row r="769">
      <c r="B769" s="44"/>
    </row>
    <row r="770">
      <c r="B770" s="44"/>
    </row>
    <row r="771">
      <c r="B771" s="44"/>
    </row>
    <row r="772">
      <c r="B772" s="44"/>
    </row>
    <row r="773">
      <c r="B773" s="44"/>
    </row>
    <row r="774">
      <c r="B774" s="44"/>
    </row>
    <row r="775">
      <c r="B775" s="44"/>
    </row>
    <row r="776">
      <c r="B776" s="44"/>
    </row>
    <row r="777">
      <c r="B777" s="44"/>
    </row>
    <row r="778">
      <c r="B778" s="44"/>
    </row>
    <row r="779">
      <c r="B779" s="44"/>
    </row>
    <row r="780">
      <c r="B780" s="44"/>
    </row>
    <row r="781">
      <c r="B781" s="44"/>
    </row>
    <row r="782">
      <c r="B782" s="44"/>
    </row>
    <row r="783">
      <c r="B783" s="44"/>
    </row>
    <row r="784">
      <c r="B784" s="44"/>
    </row>
    <row r="785">
      <c r="B785" s="44"/>
    </row>
    <row r="786">
      <c r="B786" s="44"/>
    </row>
    <row r="787">
      <c r="B787" s="44"/>
    </row>
    <row r="788">
      <c r="B788" s="44"/>
    </row>
    <row r="789">
      <c r="B789" s="44"/>
    </row>
    <row r="790">
      <c r="B790" s="44"/>
    </row>
    <row r="791">
      <c r="B791" s="44"/>
    </row>
    <row r="792">
      <c r="B792" s="44"/>
    </row>
    <row r="793">
      <c r="B793" s="44"/>
    </row>
    <row r="794">
      <c r="B794" s="44"/>
    </row>
    <row r="795">
      <c r="B795" s="44"/>
    </row>
    <row r="796">
      <c r="B796" s="44"/>
    </row>
    <row r="797">
      <c r="B797" s="44"/>
    </row>
    <row r="798">
      <c r="B798" s="44"/>
    </row>
    <row r="799">
      <c r="B799" s="44"/>
    </row>
    <row r="800">
      <c r="B800" s="44"/>
    </row>
    <row r="801">
      <c r="B801" s="44"/>
    </row>
    <row r="802">
      <c r="B802" s="44"/>
    </row>
    <row r="803">
      <c r="B803" s="44"/>
    </row>
    <row r="804">
      <c r="B804" s="44"/>
    </row>
    <row r="805">
      <c r="B805" s="44"/>
    </row>
    <row r="806">
      <c r="B806" s="44"/>
    </row>
    <row r="807">
      <c r="B807" s="44"/>
    </row>
    <row r="808">
      <c r="B808" s="44"/>
    </row>
    <row r="809">
      <c r="B809" s="44"/>
    </row>
    <row r="810">
      <c r="B810" s="44"/>
    </row>
    <row r="811">
      <c r="B811" s="44"/>
    </row>
    <row r="812">
      <c r="B812" s="44"/>
    </row>
    <row r="813">
      <c r="B813" s="44"/>
    </row>
    <row r="814">
      <c r="B814" s="44"/>
    </row>
    <row r="815">
      <c r="B815" s="44"/>
    </row>
    <row r="816">
      <c r="B816" s="44"/>
    </row>
    <row r="817">
      <c r="B817" s="44"/>
    </row>
    <row r="818">
      <c r="B818" s="44"/>
    </row>
    <row r="819">
      <c r="B819" s="44"/>
    </row>
    <row r="820">
      <c r="B820" s="44"/>
    </row>
    <row r="821">
      <c r="B821" s="44"/>
    </row>
    <row r="822">
      <c r="B822" s="44"/>
    </row>
    <row r="823">
      <c r="B823" s="44"/>
    </row>
    <row r="824">
      <c r="B824" s="44"/>
    </row>
    <row r="825">
      <c r="B825" s="44"/>
    </row>
    <row r="826">
      <c r="B826" s="44"/>
    </row>
    <row r="827">
      <c r="B827" s="44"/>
    </row>
    <row r="828">
      <c r="B828" s="44"/>
    </row>
    <row r="829">
      <c r="B829" s="44"/>
    </row>
    <row r="830">
      <c r="B830" s="44"/>
    </row>
    <row r="831">
      <c r="B831" s="44"/>
    </row>
    <row r="832">
      <c r="B832" s="44"/>
    </row>
    <row r="833">
      <c r="B833" s="44"/>
    </row>
    <row r="834">
      <c r="B834" s="44"/>
    </row>
    <row r="835">
      <c r="B835" s="44"/>
    </row>
    <row r="836">
      <c r="B836" s="44"/>
    </row>
    <row r="837">
      <c r="B837" s="44"/>
    </row>
    <row r="838">
      <c r="B838" s="44"/>
    </row>
    <row r="839">
      <c r="B839" s="44"/>
    </row>
    <row r="840">
      <c r="B840" s="44"/>
    </row>
    <row r="841">
      <c r="B841" s="44"/>
    </row>
    <row r="842">
      <c r="B842" s="44"/>
    </row>
    <row r="843">
      <c r="B843" s="44"/>
    </row>
    <row r="844">
      <c r="B844" s="44"/>
    </row>
    <row r="845">
      <c r="B845" s="44"/>
    </row>
    <row r="846">
      <c r="B846" s="44"/>
    </row>
    <row r="847">
      <c r="B847" s="44"/>
    </row>
    <row r="848">
      <c r="B848" s="44"/>
    </row>
    <row r="849">
      <c r="B849" s="44"/>
    </row>
    <row r="850">
      <c r="B850" s="44"/>
    </row>
    <row r="851">
      <c r="B851" s="44"/>
    </row>
    <row r="852">
      <c r="B852" s="44"/>
    </row>
    <row r="853">
      <c r="B853" s="44"/>
    </row>
    <row r="854">
      <c r="B854" s="44"/>
    </row>
    <row r="855">
      <c r="B855" s="44"/>
    </row>
    <row r="856">
      <c r="B856" s="44"/>
    </row>
    <row r="857">
      <c r="B857" s="44"/>
    </row>
    <row r="858">
      <c r="B858" s="44"/>
    </row>
    <row r="859">
      <c r="B859" s="44"/>
    </row>
    <row r="860">
      <c r="B860" s="44"/>
    </row>
    <row r="861">
      <c r="B861" s="44"/>
    </row>
    <row r="862">
      <c r="B862" s="44"/>
    </row>
    <row r="863">
      <c r="B863" s="44"/>
    </row>
    <row r="864">
      <c r="B864" s="44"/>
    </row>
    <row r="865">
      <c r="B865" s="44"/>
    </row>
    <row r="866">
      <c r="B866" s="44"/>
    </row>
    <row r="867">
      <c r="B867" s="44"/>
    </row>
    <row r="868">
      <c r="B868" s="44"/>
    </row>
    <row r="869">
      <c r="B869" s="44"/>
    </row>
    <row r="870">
      <c r="B870" s="44"/>
    </row>
    <row r="871">
      <c r="B871" s="44"/>
    </row>
    <row r="872">
      <c r="B872" s="44"/>
    </row>
    <row r="873">
      <c r="B873" s="44"/>
    </row>
    <row r="874">
      <c r="B874" s="44"/>
    </row>
    <row r="875">
      <c r="B875" s="44"/>
    </row>
    <row r="876">
      <c r="B876" s="44"/>
    </row>
    <row r="877">
      <c r="B877" s="44"/>
    </row>
    <row r="878">
      <c r="B878" s="44"/>
    </row>
    <row r="879">
      <c r="B879" s="44"/>
    </row>
    <row r="880">
      <c r="B880" s="44"/>
    </row>
    <row r="881">
      <c r="B881" s="44"/>
    </row>
    <row r="882">
      <c r="B882" s="44"/>
    </row>
    <row r="883">
      <c r="B883" s="44"/>
    </row>
    <row r="884">
      <c r="B884" s="44"/>
    </row>
    <row r="885">
      <c r="B885" s="44"/>
    </row>
    <row r="886">
      <c r="B886" s="44"/>
    </row>
    <row r="887">
      <c r="B887" s="44"/>
    </row>
    <row r="888">
      <c r="B888" s="44"/>
    </row>
    <row r="889">
      <c r="B889" s="44"/>
    </row>
    <row r="890">
      <c r="B890" s="44"/>
    </row>
    <row r="891">
      <c r="B891" s="44"/>
    </row>
    <row r="892">
      <c r="B892" s="44"/>
    </row>
    <row r="893">
      <c r="B893" s="44"/>
    </row>
    <row r="894">
      <c r="B894" s="44"/>
    </row>
    <row r="895">
      <c r="B895" s="44"/>
    </row>
    <row r="896">
      <c r="B896" s="44"/>
    </row>
    <row r="897">
      <c r="B897" s="44"/>
    </row>
    <row r="898">
      <c r="B898" s="44"/>
    </row>
    <row r="899">
      <c r="B899" s="44"/>
    </row>
    <row r="900">
      <c r="B900" s="44"/>
    </row>
    <row r="901">
      <c r="B901" s="44"/>
    </row>
    <row r="902">
      <c r="B902" s="44"/>
    </row>
    <row r="903">
      <c r="B903" s="44"/>
    </row>
    <row r="904">
      <c r="B904" s="44"/>
    </row>
    <row r="905">
      <c r="B905" s="44"/>
    </row>
    <row r="906">
      <c r="B906" s="44"/>
    </row>
    <row r="907">
      <c r="B907" s="44"/>
    </row>
    <row r="908">
      <c r="B908" s="44"/>
    </row>
    <row r="909">
      <c r="B909" s="44"/>
    </row>
    <row r="910">
      <c r="B910" s="44"/>
    </row>
    <row r="911">
      <c r="B911" s="44"/>
    </row>
    <row r="912">
      <c r="B912" s="44"/>
    </row>
    <row r="913">
      <c r="B913" s="44"/>
    </row>
    <row r="914">
      <c r="B914" s="44"/>
    </row>
    <row r="915">
      <c r="B915" s="44"/>
    </row>
    <row r="916">
      <c r="B916" s="44"/>
    </row>
    <row r="917">
      <c r="B917" s="44"/>
    </row>
    <row r="918">
      <c r="B918" s="44"/>
    </row>
    <row r="919">
      <c r="B919" s="44"/>
    </row>
    <row r="920">
      <c r="B920" s="44"/>
    </row>
    <row r="921">
      <c r="B921" s="44"/>
    </row>
    <row r="922">
      <c r="B922" s="44"/>
    </row>
    <row r="923">
      <c r="B923" s="44"/>
    </row>
    <row r="924">
      <c r="B924" s="44"/>
    </row>
    <row r="925">
      <c r="B925" s="44"/>
    </row>
    <row r="926">
      <c r="B926" s="44"/>
    </row>
    <row r="927">
      <c r="B927" s="44"/>
    </row>
    <row r="928">
      <c r="B928" s="44"/>
    </row>
    <row r="929">
      <c r="B929" s="44"/>
    </row>
    <row r="930">
      <c r="B930" s="44"/>
    </row>
    <row r="931">
      <c r="B931" s="44"/>
    </row>
    <row r="932">
      <c r="B932" s="44"/>
    </row>
    <row r="933">
      <c r="B933" s="44"/>
    </row>
    <row r="934">
      <c r="B934" s="44"/>
    </row>
    <row r="935">
      <c r="B935" s="44"/>
    </row>
    <row r="936">
      <c r="B936" s="44"/>
    </row>
    <row r="937">
      <c r="B937" s="44"/>
    </row>
    <row r="938">
      <c r="B938" s="44"/>
    </row>
    <row r="939">
      <c r="B939" s="44"/>
    </row>
    <row r="940">
      <c r="B940" s="44"/>
    </row>
    <row r="941">
      <c r="B941" s="44"/>
    </row>
    <row r="942">
      <c r="B942" s="44"/>
    </row>
    <row r="943">
      <c r="B943" s="44"/>
    </row>
    <row r="944">
      <c r="B944" s="44"/>
    </row>
    <row r="945">
      <c r="B945" s="44"/>
    </row>
    <row r="946">
      <c r="B946" s="44"/>
    </row>
    <row r="947">
      <c r="B947" s="44"/>
    </row>
    <row r="948">
      <c r="B948" s="44"/>
    </row>
    <row r="949">
      <c r="B949" s="44"/>
    </row>
    <row r="950">
      <c r="B950" s="44"/>
    </row>
    <row r="951">
      <c r="B951" s="44"/>
    </row>
    <row r="952">
      <c r="B952" s="44"/>
    </row>
    <row r="953">
      <c r="B953" s="44"/>
    </row>
    <row r="954">
      <c r="B954" s="44"/>
    </row>
    <row r="955">
      <c r="B955" s="44"/>
    </row>
    <row r="956">
      <c r="B956" s="44"/>
    </row>
    <row r="957">
      <c r="B957" s="44"/>
    </row>
    <row r="958">
      <c r="B958" s="44"/>
    </row>
    <row r="959">
      <c r="B959" s="44"/>
    </row>
    <row r="960">
      <c r="B960" s="44"/>
    </row>
    <row r="961">
      <c r="B961" s="44"/>
    </row>
    <row r="962">
      <c r="B962" s="44"/>
    </row>
    <row r="963">
      <c r="B963" s="44"/>
    </row>
    <row r="964">
      <c r="B964" s="44"/>
    </row>
    <row r="965">
      <c r="B965" s="44"/>
    </row>
    <row r="966">
      <c r="B966" s="44"/>
    </row>
    <row r="967">
      <c r="B967" s="44"/>
    </row>
    <row r="968">
      <c r="B968" s="44"/>
    </row>
    <row r="969">
      <c r="B969" s="44"/>
    </row>
    <row r="970">
      <c r="B970" s="44"/>
    </row>
    <row r="971">
      <c r="B971" s="44"/>
    </row>
    <row r="972">
      <c r="B972" s="44"/>
    </row>
    <row r="973">
      <c r="B973" s="44"/>
    </row>
    <row r="974">
      <c r="B974" s="44"/>
    </row>
    <row r="975">
      <c r="B975" s="44"/>
    </row>
    <row r="976">
      <c r="B976" s="44"/>
    </row>
    <row r="977">
      <c r="B977" s="44"/>
    </row>
    <row r="978">
      <c r="B978" s="44"/>
    </row>
    <row r="979">
      <c r="B979" s="44"/>
    </row>
    <row r="980">
      <c r="B980" s="44"/>
    </row>
    <row r="981">
      <c r="B981" s="44"/>
    </row>
    <row r="982">
      <c r="B982" s="44"/>
    </row>
    <row r="983">
      <c r="B983" s="44"/>
    </row>
    <row r="984">
      <c r="B984" s="44"/>
    </row>
    <row r="985">
      <c r="B985" s="44"/>
    </row>
    <row r="986">
      <c r="B986" s="44"/>
    </row>
    <row r="987">
      <c r="B987" s="44"/>
    </row>
    <row r="988">
      <c r="B988" s="44"/>
    </row>
    <row r="989">
      <c r="B989" s="44"/>
    </row>
    <row r="990">
      <c r="B990" s="44"/>
    </row>
    <row r="991">
      <c r="B991" s="44"/>
    </row>
    <row r="992">
      <c r="B992" s="44"/>
    </row>
    <row r="993">
      <c r="B993" s="44"/>
    </row>
    <row r="994">
      <c r="B994" s="44"/>
    </row>
    <row r="995">
      <c r="B995" s="44"/>
    </row>
    <row r="996">
      <c r="B996" s="44"/>
    </row>
    <row r="997">
      <c r="B997" s="44"/>
    </row>
    <row r="998">
      <c r="B998" s="44"/>
    </row>
    <row r="999">
      <c r="B999" s="44"/>
    </row>
    <row r="1000">
      <c r="B1000" s="4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51" t="s">
        <v>73</v>
      </c>
      <c r="B1" s="51" t="s">
        <v>74</v>
      </c>
      <c r="C1" s="51" t="s">
        <v>75</v>
      </c>
    </row>
    <row r="2">
      <c r="A2" s="52" t="s">
        <v>76</v>
      </c>
      <c r="B2" s="51" t="s">
        <v>66</v>
      </c>
      <c r="C2" s="51" t="s">
        <v>77</v>
      </c>
    </row>
    <row r="3">
      <c r="A3" s="52" t="s">
        <v>78</v>
      </c>
      <c r="B3" s="51" t="s">
        <v>79</v>
      </c>
      <c r="C3" s="51" t="s">
        <v>80</v>
      </c>
    </row>
    <row r="4">
      <c r="A4" s="52" t="s">
        <v>81</v>
      </c>
      <c r="B4" s="51" t="s">
        <v>82</v>
      </c>
      <c r="C4" s="51" t="s">
        <v>83</v>
      </c>
    </row>
    <row r="5">
      <c r="A5" s="52" t="s">
        <v>84</v>
      </c>
      <c r="B5" s="51" t="s">
        <v>85</v>
      </c>
      <c r="C5" s="51" t="s">
        <v>86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2026-01-20T16:51:48Z</dcterms:created>
  <dc:creator>openpyxl</dc:creator>
</cp:coreProperties>
</file>